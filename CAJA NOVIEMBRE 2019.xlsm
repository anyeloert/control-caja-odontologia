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bookViews>
    <workbookView xWindow="0" yWindow="0" windowWidth="15345" windowHeight="4575" firstSheet="22" activeTab="31"/>
  </bookViews>
  <sheets>
    <sheet name="01" sheetId="45" r:id="rId1"/>
    <sheet name="02" sheetId="46" r:id="rId2"/>
    <sheet name="03" sheetId="47" r:id="rId3"/>
    <sheet name="04" sheetId="48" r:id="rId4"/>
    <sheet name="05" sheetId="49" r:id="rId5"/>
    <sheet name="06-domingo" sheetId="50" r:id="rId6"/>
    <sheet name="07" sheetId="51" r:id="rId7"/>
    <sheet name="08-FERIADO" sheetId="52" r:id="rId8"/>
    <sheet name="09" sheetId="53" r:id="rId9"/>
    <sheet name="10" sheetId="54" r:id="rId10"/>
    <sheet name="11" sheetId="55" r:id="rId11"/>
    <sheet name="12" sheetId="56" r:id="rId12"/>
    <sheet name="13-DOMINGO" sheetId="58" r:id="rId13"/>
    <sheet name="14" sheetId="57" r:id="rId14"/>
    <sheet name="15" sheetId="59" r:id="rId15"/>
    <sheet name="16" sheetId="60" r:id="rId16"/>
    <sheet name="17" sheetId="61" r:id="rId17"/>
    <sheet name="18" sheetId="62" r:id="rId18"/>
    <sheet name="Hoja19" sheetId="63" r:id="rId19"/>
    <sheet name="20-DOMINGO" sheetId="64" r:id="rId20"/>
    <sheet name="21" sheetId="65" r:id="rId21"/>
    <sheet name="22" sheetId="66" r:id="rId22"/>
    <sheet name="23" sheetId="67" r:id="rId23"/>
    <sheet name="24" sheetId="68" r:id="rId24"/>
    <sheet name="25" sheetId="69" r:id="rId25"/>
    <sheet name="26" sheetId="70" r:id="rId26"/>
    <sheet name="27-DOMINGO" sheetId="71" r:id="rId27"/>
    <sheet name="28" sheetId="72" r:id="rId28"/>
    <sheet name="Hoja29" sheetId="73" r:id="rId29"/>
    <sheet name="Hoja30" sheetId="74" r:id="rId30"/>
    <sheet name="Hoja31" sheetId="75" r:id="rId31"/>
    <sheet name="resumen mesual" sheetId="79" r:id="rId3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7" i="75" l="1"/>
  <c r="F47" i="75"/>
  <c r="G47" i="75" s="1"/>
  <c r="F46" i="75"/>
  <c r="G46" i="75" s="1"/>
  <c r="F45" i="75"/>
  <c r="G45" i="75" s="1"/>
  <c r="F44" i="75"/>
  <c r="G44" i="75" s="1"/>
  <c r="F43" i="75"/>
  <c r="G43" i="75" s="1"/>
  <c r="F42" i="75"/>
  <c r="G42" i="75" s="1"/>
  <c r="F41" i="75"/>
  <c r="G41" i="75" s="1"/>
  <c r="F40" i="75"/>
  <c r="G40" i="75" s="1"/>
  <c r="F39" i="75"/>
  <c r="G39" i="75" s="1"/>
  <c r="F38" i="75"/>
  <c r="G38" i="75" s="1"/>
  <c r="F37" i="75"/>
  <c r="G37" i="75" s="1"/>
  <c r="F36" i="75"/>
  <c r="G36" i="75" s="1"/>
  <c r="F35" i="75"/>
  <c r="G35" i="75" s="1"/>
  <c r="F34" i="75"/>
  <c r="G34" i="75" s="1"/>
  <c r="F33" i="75"/>
  <c r="G33" i="75" s="1"/>
  <c r="F32" i="75"/>
  <c r="G32" i="75" s="1"/>
  <c r="F31" i="75"/>
  <c r="G31" i="75" s="1"/>
  <c r="F30" i="75"/>
  <c r="G30" i="75" s="1"/>
  <c r="F29" i="75"/>
  <c r="F48" i="75" s="1"/>
  <c r="L23" i="75"/>
  <c r="F23" i="75"/>
  <c r="G23" i="75" s="1"/>
  <c r="F22" i="75"/>
  <c r="G22" i="75" s="1"/>
  <c r="F21" i="75"/>
  <c r="G21" i="75" s="1"/>
  <c r="F20" i="75"/>
  <c r="G20" i="75" s="1"/>
  <c r="F19" i="75"/>
  <c r="G19" i="75" s="1"/>
  <c r="F18" i="75"/>
  <c r="G18" i="75" s="1"/>
  <c r="F17" i="75"/>
  <c r="G17" i="75" s="1"/>
  <c r="F16" i="75"/>
  <c r="G16" i="75" s="1"/>
  <c r="F15" i="75"/>
  <c r="G15" i="75" s="1"/>
  <c r="F14" i="75"/>
  <c r="G14" i="75" s="1"/>
  <c r="F13" i="75"/>
  <c r="G13" i="75" s="1"/>
  <c r="F12" i="75"/>
  <c r="G12" i="75" s="1"/>
  <c r="F11" i="75"/>
  <c r="G11" i="75" s="1"/>
  <c r="F10" i="75"/>
  <c r="G10" i="75" s="1"/>
  <c r="F9" i="75"/>
  <c r="G9" i="75" s="1"/>
  <c r="F8" i="75"/>
  <c r="G8" i="75" s="1"/>
  <c r="F7" i="75"/>
  <c r="G7" i="75" s="1"/>
  <c r="F6" i="75"/>
  <c r="G6" i="75" s="1"/>
  <c r="F5" i="75"/>
  <c r="F24" i="75" s="1"/>
  <c r="L47" i="74"/>
  <c r="F47" i="74"/>
  <c r="G47" i="74" s="1"/>
  <c r="F46" i="74"/>
  <c r="G46" i="74" s="1"/>
  <c r="F45" i="74"/>
  <c r="G45" i="74" s="1"/>
  <c r="F44" i="74"/>
  <c r="G44" i="74" s="1"/>
  <c r="F43" i="74"/>
  <c r="G43" i="74" s="1"/>
  <c r="F42" i="74"/>
  <c r="G42" i="74" s="1"/>
  <c r="F41" i="74"/>
  <c r="G41" i="74" s="1"/>
  <c r="F40" i="74"/>
  <c r="G40" i="74" s="1"/>
  <c r="F39" i="74"/>
  <c r="G39" i="74" s="1"/>
  <c r="F38" i="74"/>
  <c r="G38" i="74" s="1"/>
  <c r="F37" i="74"/>
  <c r="G37" i="74" s="1"/>
  <c r="F36" i="74"/>
  <c r="G36" i="74" s="1"/>
  <c r="F35" i="74"/>
  <c r="G35" i="74" s="1"/>
  <c r="F34" i="74"/>
  <c r="G34" i="74" s="1"/>
  <c r="F33" i="74"/>
  <c r="G33" i="74" s="1"/>
  <c r="F32" i="74"/>
  <c r="G32" i="74" s="1"/>
  <c r="F31" i="74"/>
  <c r="G31" i="74" s="1"/>
  <c r="F30" i="74"/>
  <c r="G30" i="74" s="1"/>
  <c r="F29" i="74"/>
  <c r="F48" i="74" s="1"/>
  <c r="L23" i="74"/>
  <c r="F23" i="74"/>
  <c r="G23" i="74" s="1"/>
  <c r="F22" i="74"/>
  <c r="G22" i="74" s="1"/>
  <c r="F21" i="74"/>
  <c r="G21" i="74" s="1"/>
  <c r="F20" i="74"/>
  <c r="G20" i="74" s="1"/>
  <c r="F19" i="74"/>
  <c r="G19" i="74" s="1"/>
  <c r="F18" i="74"/>
  <c r="G18" i="74" s="1"/>
  <c r="F17" i="74"/>
  <c r="G17" i="74" s="1"/>
  <c r="F16" i="74"/>
  <c r="G16" i="74" s="1"/>
  <c r="F15" i="74"/>
  <c r="G15" i="74" s="1"/>
  <c r="F14" i="74"/>
  <c r="G14" i="74" s="1"/>
  <c r="F13" i="74"/>
  <c r="G13" i="74" s="1"/>
  <c r="F12" i="74"/>
  <c r="G12" i="74" s="1"/>
  <c r="F11" i="74"/>
  <c r="G11" i="74" s="1"/>
  <c r="F10" i="74"/>
  <c r="G10" i="74" s="1"/>
  <c r="F9" i="74"/>
  <c r="G9" i="74" s="1"/>
  <c r="F8" i="74"/>
  <c r="G8" i="74" s="1"/>
  <c r="F7" i="74"/>
  <c r="G7" i="74" s="1"/>
  <c r="F6" i="74"/>
  <c r="G6" i="74" s="1"/>
  <c r="F5" i="74"/>
  <c r="F24" i="74" s="1"/>
  <c r="L47" i="73"/>
  <c r="F47" i="73"/>
  <c r="G47" i="73" s="1"/>
  <c r="F46" i="73"/>
  <c r="G46" i="73" s="1"/>
  <c r="F45" i="73"/>
  <c r="G45" i="73" s="1"/>
  <c r="F44" i="73"/>
  <c r="G44" i="73" s="1"/>
  <c r="F43" i="73"/>
  <c r="G43" i="73" s="1"/>
  <c r="F42" i="73"/>
  <c r="G42" i="73" s="1"/>
  <c r="F41" i="73"/>
  <c r="G41" i="73" s="1"/>
  <c r="F40" i="73"/>
  <c r="G40" i="73" s="1"/>
  <c r="F39" i="73"/>
  <c r="G39" i="73" s="1"/>
  <c r="F38" i="73"/>
  <c r="G38" i="73" s="1"/>
  <c r="F37" i="73"/>
  <c r="G37" i="73" s="1"/>
  <c r="F36" i="73"/>
  <c r="G36" i="73" s="1"/>
  <c r="F35" i="73"/>
  <c r="G35" i="73" s="1"/>
  <c r="F34" i="73"/>
  <c r="G34" i="73" s="1"/>
  <c r="F33" i="73"/>
  <c r="G33" i="73" s="1"/>
  <c r="F32" i="73"/>
  <c r="G32" i="73" s="1"/>
  <c r="F31" i="73"/>
  <c r="G31" i="73" s="1"/>
  <c r="F30" i="73"/>
  <c r="G30" i="73" s="1"/>
  <c r="F29" i="73"/>
  <c r="F48" i="73" s="1"/>
  <c r="L23" i="73"/>
  <c r="F23" i="73"/>
  <c r="G23" i="73" s="1"/>
  <c r="F22" i="73"/>
  <c r="G22" i="73" s="1"/>
  <c r="F21" i="73"/>
  <c r="G21" i="73" s="1"/>
  <c r="F20" i="73"/>
  <c r="G20" i="73" s="1"/>
  <c r="F19" i="73"/>
  <c r="G19" i="73" s="1"/>
  <c r="F18" i="73"/>
  <c r="G18" i="73" s="1"/>
  <c r="F17" i="73"/>
  <c r="G17" i="73" s="1"/>
  <c r="F16" i="73"/>
  <c r="G16" i="73" s="1"/>
  <c r="F15" i="73"/>
  <c r="G15" i="73" s="1"/>
  <c r="F14" i="73"/>
  <c r="G14" i="73" s="1"/>
  <c r="F13" i="73"/>
  <c r="G13" i="73" s="1"/>
  <c r="F12" i="73"/>
  <c r="G12" i="73" s="1"/>
  <c r="F11" i="73"/>
  <c r="G11" i="73" s="1"/>
  <c r="F10" i="73"/>
  <c r="G10" i="73" s="1"/>
  <c r="F9" i="73"/>
  <c r="G9" i="73" s="1"/>
  <c r="F8" i="73"/>
  <c r="G8" i="73" s="1"/>
  <c r="F7" i="73"/>
  <c r="G7" i="73" s="1"/>
  <c r="F6" i="73"/>
  <c r="G6" i="73" s="1"/>
  <c r="F5" i="73"/>
  <c r="F24" i="73" s="1"/>
  <c r="L47" i="72"/>
  <c r="F47" i="72"/>
  <c r="G47" i="72" s="1"/>
  <c r="F46" i="72"/>
  <c r="G46" i="72" s="1"/>
  <c r="F45" i="72"/>
  <c r="G45" i="72" s="1"/>
  <c r="F44" i="72"/>
  <c r="G44" i="72" s="1"/>
  <c r="F43" i="72"/>
  <c r="G43" i="72" s="1"/>
  <c r="F42" i="72"/>
  <c r="G42" i="72" s="1"/>
  <c r="F41" i="72"/>
  <c r="G41" i="72" s="1"/>
  <c r="F40" i="72"/>
  <c r="G40" i="72" s="1"/>
  <c r="F39" i="72"/>
  <c r="G39" i="72" s="1"/>
  <c r="F38" i="72"/>
  <c r="G38" i="72" s="1"/>
  <c r="F37" i="72"/>
  <c r="G37" i="72" s="1"/>
  <c r="F36" i="72"/>
  <c r="G36" i="72" s="1"/>
  <c r="F35" i="72"/>
  <c r="G35" i="72" s="1"/>
  <c r="F34" i="72"/>
  <c r="G34" i="72" s="1"/>
  <c r="F33" i="72"/>
  <c r="G33" i="72" s="1"/>
  <c r="F32" i="72"/>
  <c r="G32" i="72" s="1"/>
  <c r="F31" i="72"/>
  <c r="G31" i="72" s="1"/>
  <c r="F30" i="72"/>
  <c r="G30" i="72" s="1"/>
  <c r="F29" i="72"/>
  <c r="F48" i="72" s="1"/>
  <c r="L23" i="72"/>
  <c r="F23" i="72"/>
  <c r="G23" i="72" s="1"/>
  <c r="F22" i="72"/>
  <c r="G22" i="72" s="1"/>
  <c r="F21" i="72"/>
  <c r="G21" i="72" s="1"/>
  <c r="F20" i="72"/>
  <c r="G20" i="72" s="1"/>
  <c r="F19" i="72"/>
  <c r="G19" i="72" s="1"/>
  <c r="F18" i="72"/>
  <c r="G18" i="72" s="1"/>
  <c r="F17" i="72"/>
  <c r="G17" i="72" s="1"/>
  <c r="F16" i="72"/>
  <c r="G16" i="72" s="1"/>
  <c r="F15" i="72"/>
  <c r="G15" i="72" s="1"/>
  <c r="F14" i="72"/>
  <c r="G14" i="72" s="1"/>
  <c r="F13" i="72"/>
  <c r="G13" i="72" s="1"/>
  <c r="F12" i="72"/>
  <c r="G12" i="72" s="1"/>
  <c r="F11" i="72"/>
  <c r="G11" i="72" s="1"/>
  <c r="F10" i="72"/>
  <c r="G10" i="72" s="1"/>
  <c r="F9" i="72"/>
  <c r="G9" i="72" s="1"/>
  <c r="F8" i="72"/>
  <c r="G8" i="72" s="1"/>
  <c r="F7" i="72"/>
  <c r="G7" i="72" s="1"/>
  <c r="F6" i="72"/>
  <c r="G6" i="72" s="1"/>
  <c r="F5" i="72"/>
  <c r="F24" i="72" s="1"/>
  <c r="L47" i="71"/>
  <c r="F47" i="71"/>
  <c r="G47" i="71" s="1"/>
  <c r="F46" i="71"/>
  <c r="G46" i="71" s="1"/>
  <c r="F45" i="71"/>
  <c r="G45" i="71" s="1"/>
  <c r="F44" i="71"/>
  <c r="G44" i="71" s="1"/>
  <c r="F43" i="71"/>
  <c r="G43" i="71" s="1"/>
  <c r="F42" i="71"/>
  <c r="G42" i="71" s="1"/>
  <c r="F41" i="71"/>
  <c r="G41" i="71" s="1"/>
  <c r="F40" i="71"/>
  <c r="G40" i="71" s="1"/>
  <c r="F39" i="71"/>
  <c r="G39" i="71" s="1"/>
  <c r="F38" i="71"/>
  <c r="G38" i="71" s="1"/>
  <c r="F37" i="71"/>
  <c r="G37" i="71" s="1"/>
  <c r="F36" i="71"/>
  <c r="G36" i="71" s="1"/>
  <c r="F35" i="71"/>
  <c r="G35" i="71" s="1"/>
  <c r="F34" i="71"/>
  <c r="G34" i="71" s="1"/>
  <c r="F33" i="71"/>
  <c r="G33" i="71" s="1"/>
  <c r="F32" i="71"/>
  <c r="G32" i="71" s="1"/>
  <c r="F31" i="71"/>
  <c r="G31" i="71" s="1"/>
  <c r="F30" i="71"/>
  <c r="G30" i="71" s="1"/>
  <c r="F29" i="71"/>
  <c r="F48" i="71" s="1"/>
  <c r="L23" i="71"/>
  <c r="F23" i="71"/>
  <c r="G23" i="71" s="1"/>
  <c r="F22" i="71"/>
  <c r="G22" i="71" s="1"/>
  <c r="F21" i="71"/>
  <c r="G21" i="71" s="1"/>
  <c r="F20" i="71"/>
  <c r="G20" i="71" s="1"/>
  <c r="F19" i="71"/>
  <c r="G19" i="71" s="1"/>
  <c r="F18" i="71"/>
  <c r="G18" i="71" s="1"/>
  <c r="F17" i="71"/>
  <c r="G17" i="71" s="1"/>
  <c r="F16" i="71"/>
  <c r="G16" i="71" s="1"/>
  <c r="F15" i="71"/>
  <c r="G15" i="71" s="1"/>
  <c r="F14" i="71"/>
  <c r="G14" i="71" s="1"/>
  <c r="F13" i="71"/>
  <c r="G13" i="71" s="1"/>
  <c r="F12" i="71"/>
  <c r="G12" i="71" s="1"/>
  <c r="F11" i="71"/>
  <c r="G11" i="71" s="1"/>
  <c r="F10" i="71"/>
  <c r="G10" i="71" s="1"/>
  <c r="F9" i="71"/>
  <c r="G9" i="71" s="1"/>
  <c r="F8" i="71"/>
  <c r="G8" i="71" s="1"/>
  <c r="F7" i="71"/>
  <c r="G7" i="71" s="1"/>
  <c r="F6" i="71"/>
  <c r="G6" i="71" s="1"/>
  <c r="F5" i="71"/>
  <c r="F24" i="71" s="1"/>
  <c r="L47" i="70"/>
  <c r="F47" i="70"/>
  <c r="G47" i="70" s="1"/>
  <c r="F46" i="70"/>
  <c r="G46" i="70" s="1"/>
  <c r="F45" i="70"/>
  <c r="G45" i="70" s="1"/>
  <c r="F44" i="70"/>
  <c r="G44" i="70" s="1"/>
  <c r="F43" i="70"/>
  <c r="G43" i="70" s="1"/>
  <c r="F42" i="70"/>
  <c r="G42" i="70" s="1"/>
  <c r="F41" i="70"/>
  <c r="G41" i="70" s="1"/>
  <c r="F40" i="70"/>
  <c r="G40" i="70" s="1"/>
  <c r="F39" i="70"/>
  <c r="G39" i="70" s="1"/>
  <c r="F38" i="70"/>
  <c r="G38" i="70" s="1"/>
  <c r="F37" i="70"/>
  <c r="G37" i="70" s="1"/>
  <c r="F36" i="70"/>
  <c r="G36" i="70" s="1"/>
  <c r="F35" i="70"/>
  <c r="G35" i="70" s="1"/>
  <c r="F34" i="70"/>
  <c r="G34" i="70" s="1"/>
  <c r="F33" i="70"/>
  <c r="G33" i="70" s="1"/>
  <c r="F32" i="70"/>
  <c r="G32" i="70" s="1"/>
  <c r="F31" i="70"/>
  <c r="G31" i="70" s="1"/>
  <c r="F30" i="70"/>
  <c r="G30" i="70" s="1"/>
  <c r="F29" i="70"/>
  <c r="F48" i="70" s="1"/>
  <c r="L23" i="70"/>
  <c r="F23" i="70"/>
  <c r="G23" i="70" s="1"/>
  <c r="F22" i="70"/>
  <c r="G22" i="70" s="1"/>
  <c r="F21" i="70"/>
  <c r="G21" i="70" s="1"/>
  <c r="F20" i="70"/>
  <c r="G20" i="70" s="1"/>
  <c r="F19" i="70"/>
  <c r="G19" i="70" s="1"/>
  <c r="F18" i="70"/>
  <c r="G18" i="70" s="1"/>
  <c r="F17" i="70"/>
  <c r="G17" i="70" s="1"/>
  <c r="F16" i="70"/>
  <c r="G16" i="70" s="1"/>
  <c r="F15" i="70"/>
  <c r="G15" i="70" s="1"/>
  <c r="F14" i="70"/>
  <c r="G14" i="70" s="1"/>
  <c r="F13" i="70"/>
  <c r="G13" i="70" s="1"/>
  <c r="F12" i="70"/>
  <c r="G12" i="70" s="1"/>
  <c r="F11" i="70"/>
  <c r="G11" i="70" s="1"/>
  <c r="F10" i="70"/>
  <c r="G10" i="70" s="1"/>
  <c r="F9" i="70"/>
  <c r="G9" i="70" s="1"/>
  <c r="F8" i="70"/>
  <c r="G8" i="70" s="1"/>
  <c r="F7" i="70"/>
  <c r="G7" i="70" s="1"/>
  <c r="F6" i="70"/>
  <c r="G6" i="70" s="1"/>
  <c r="F5" i="70"/>
  <c r="F24" i="70" s="1"/>
  <c r="L47" i="69"/>
  <c r="F47" i="69"/>
  <c r="G47" i="69" s="1"/>
  <c r="F46" i="69"/>
  <c r="G46" i="69" s="1"/>
  <c r="F45" i="69"/>
  <c r="G45" i="69" s="1"/>
  <c r="F44" i="69"/>
  <c r="G44" i="69" s="1"/>
  <c r="F43" i="69"/>
  <c r="G43" i="69" s="1"/>
  <c r="F42" i="69"/>
  <c r="G42" i="69" s="1"/>
  <c r="F41" i="69"/>
  <c r="G41" i="69" s="1"/>
  <c r="F40" i="69"/>
  <c r="G40" i="69" s="1"/>
  <c r="F39" i="69"/>
  <c r="G39" i="69" s="1"/>
  <c r="F38" i="69"/>
  <c r="G38" i="69" s="1"/>
  <c r="F37" i="69"/>
  <c r="G37" i="69" s="1"/>
  <c r="F36" i="69"/>
  <c r="G36" i="69" s="1"/>
  <c r="F35" i="69"/>
  <c r="G35" i="69" s="1"/>
  <c r="F34" i="69"/>
  <c r="G34" i="69" s="1"/>
  <c r="F33" i="69"/>
  <c r="G33" i="69" s="1"/>
  <c r="F32" i="69"/>
  <c r="G32" i="69" s="1"/>
  <c r="F31" i="69"/>
  <c r="G31" i="69" s="1"/>
  <c r="F30" i="69"/>
  <c r="G30" i="69" s="1"/>
  <c r="F29" i="69"/>
  <c r="F48" i="69" s="1"/>
  <c r="L23" i="69"/>
  <c r="F23" i="69"/>
  <c r="G23" i="69" s="1"/>
  <c r="F22" i="69"/>
  <c r="G22" i="69" s="1"/>
  <c r="F21" i="69"/>
  <c r="G21" i="69" s="1"/>
  <c r="F20" i="69"/>
  <c r="G20" i="69" s="1"/>
  <c r="F19" i="69"/>
  <c r="G19" i="69" s="1"/>
  <c r="F18" i="69"/>
  <c r="G18" i="69" s="1"/>
  <c r="F17" i="69"/>
  <c r="G17" i="69" s="1"/>
  <c r="F16" i="69"/>
  <c r="G16" i="69" s="1"/>
  <c r="F15" i="69"/>
  <c r="G15" i="69" s="1"/>
  <c r="F14" i="69"/>
  <c r="G14" i="69" s="1"/>
  <c r="F13" i="69"/>
  <c r="G13" i="69" s="1"/>
  <c r="F12" i="69"/>
  <c r="G12" i="69" s="1"/>
  <c r="F11" i="69"/>
  <c r="G11" i="69" s="1"/>
  <c r="F10" i="69"/>
  <c r="G10" i="69" s="1"/>
  <c r="F9" i="69"/>
  <c r="G9" i="69" s="1"/>
  <c r="F8" i="69"/>
  <c r="G8" i="69" s="1"/>
  <c r="F7" i="69"/>
  <c r="G7" i="69" s="1"/>
  <c r="F6" i="69"/>
  <c r="G6" i="69" s="1"/>
  <c r="F5" i="69"/>
  <c r="F24" i="69" s="1"/>
  <c r="L47" i="68"/>
  <c r="F47" i="68"/>
  <c r="G47" i="68" s="1"/>
  <c r="F46" i="68"/>
  <c r="G46" i="68" s="1"/>
  <c r="F45" i="68"/>
  <c r="G45" i="68" s="1"/>
  <c r="F44" i="68"/>
  <c r="G44" i="68" s="1"/>
  <c r="F43" i="68"/>
  <c r="G43" i="68" s="1"/>
  <c r="F42" i="68"/>
  <c r="G42" i="68" s="1"/>
  <c r="F41" i="68"/>
  <c r="G41" i="68" s="1"/>
  <c r="F40" i="68"/>
  <c r="G40" i="68" s="1"/>
  <c r="F39" i="68"/>
  <c r="G39" i="68" s="1"/>
  <c r="F38" i="68"/>
  <c r="G38" i="68" s="1"/>
  <c r="F37" i="68"/>
  <c r="G37" i="68" s="1"/>
  <c r="F36" i="68"/>
  <c r="G36" i="68" s="1"/>
  <c r="F35" i="68"/>
  <c r="G35" i="68" s="1"/>
  <c r="F34" i="68"/>
  <c r="G34" i="68" s="1"/>
  <c r="F33" i="68"/>
  <c r="G33" i="68" s="1"/>
  <c r="F32" i="68"/>
  <c r="G32" i="68" s="1"/>
  <c r="F31" i="68"/>
  <c r="G31" i="68" s="1"/>
  <c r="F30" i="68"/>
  <c r="G30" i="68" s="1"/>
  <c r="F29" i="68"/>
  <c r="F48" i="68" s="1"/>
  <c r="L23" i="68"/>
  <c r="F23" i="68"/>
  <c r="G23" i="68" s="1"/>
  <c r="F22" i="68"/>
  <c r="G22" i="68" s="1"/>
  <c r="F21" i="68"/>
  <c r="G21" i="68" s="1"/>
  <c r="F20" i="68"/>
  <c r="G20" i="68" s="1"/>
  <c r="F19" i="68"/>
  <c r="G19" i="68" s="1"/>
  <c r="F18" i="68"/>
  <c r="G18" i="68" s="1"/>
  <c r="F17" i="68"/>
  <c r="G17" i="68" s="1"/>
  <c r="F16" i="68"/>
  <c r="G16" i="68" s="1"/>
  <c r="F15" i="68"/>
  <c r="G15" i="68" s="1"/>
  <c r="F14" i="68"/>
  <c r="G14" i="68" s="1"/>
  <c r="F13" i="68"/>
  <c r="G13" i="68" s="1"/>
  <c r="F12" i="68"/>
  <c r="G12" i="68" s="1"/>
  <c r="F11" i="68"/>
  <c r="G11" i="68" s="1"/>
  <c r="F10" i="68"/>
  <c r="G10" i="68" s="1"/>
  <c r="F9" i="68"/>
  <c r="G9" i="68" s="1"/>
  <c r="F8" i="68"/>
  <c r="G8" i="68" s="1"/>
  <c r="F7" i="68"/>
  <c r="G7" i="68" s="1"/>
  <c r="F6" i="68"/>
  <c r="G6" i="68" s="1"/>
  <c r="F5" i="68"/>
  <c r="F24" i="68" s="1"/>
  <c r="L47" i="67"/>
  <c r="F47" i="67"/>
  <c r="G47" i="67" s="1"/>
  <c r="F46" i="67"/>
  <c r="G46" i="67" s="1"/>
  <c r="F45" i="67"/>
  <c r="G45" i="67" s="1"/>
  <c r="F44" i="67"/>
  <c r="G44" i="67" s="1"/>
  <c r="F43" i="67"/>
  <c r="G43" i="67" s="1"/>
  <c r="F42" i="67"/>
  <c r="G42" i="67" s="1"/>
  <c r="F41" i="67"/>
  <c r="G41" i="67" s="1"/>
  <c r="F40" i="67"/>
  <c r="G40" i="67" s="1"/>
  <c r="F39" i="67"/>
  <c r="G39" i="67" s="1"/>
  <c r="F38" i="67"/>
  <c r="G38" i="67" s="1"/>
  <c r="F37" i="67"/>
  <c r="G37" i="67" s="1"/>
  <c r="F36" i="67"/>
  <c r="G36" i="67" s="1"/>
  <c r="F35" i="67"/>
  <c r="G35" i="67" s="1"/>
  <c r="F34" i="67"/>
  <c r="G34" i="67" s="1"/>
  <c r="F33" i="67"/>
  <c r="G33" i="67" s="1"/>
  <c r="F32" i="67"/>
  <c r="G32" i="67" s="1"/>
  <c r="F31" i="67"/>
  <c r="G31" i="67" s="1"/>
  <c r="F30" i="67"/>
  <c r="G30" i="67" s="1"/>
  <c r="F29" i="67"/>
  <c r="F48" i="67" s="1"/>
  <c r="L23" i="67"/>
  <c r="F23" i="67"/>
  <c r="G23" i="67" s="1"/>
  <c r="F22" i="67"/>
  <c r="G22" i="67" s="1"/>
  <c r="F21" i="67"/>
  <c r="G21" i="67" s="1"/>
  <c r="F20" i="67"/>
  <c r="G20" i="67" s="1"/>
  <c r="F19" i="67"/>
  <c r="G19" i="67" s="1"/>
  <c r="F18" i="67"/>
  <c r="G18" i="67" s="1"/>
  <c r="F17" i="67"/>
  <c r="G17" i="67" s="1"/>
  <c r="F16" i="67"/>
  <c r="G16" i="67" s="1"/>
  <c r="F15" i="67"/>
  <c r="G15" i="67" s="1"/>
  <c r="F14" i="67"/>
  <c r="G14" i="67" s="1"/>
  <c r="F13" i="67"/>
  <c r="G13" i="67" s="1"/>
  <c r="F12" i="67"/>
  <c r="G12" i="67" s="1"/>
  <c r="F11" i="67"/>
  <c r="G11" i="67" s="1"/>
  <c r="F10" i="67"/>
  <c r="G10" i="67" s="1"/>
  <c r="F9" i="67"/>
  <c r="G9" i="67" s="1"/>
  <c r="F8" i="67"/>
  <c r="G8" i="67" s="1"/>
  <c r="F7" i="67"/>
  <c r="G7" i="67" s="1"/>
  <c r="F6" i="67"/>
  <c r="G6" i="67" s="1"/>
  <c r="F5" i="67"/>
  <c r="F24" i="67" s="1"/>
  <c r="L47" i="66"/>
  <c r="F47" i="66"/>
  <c r="G47" i="66" s="1"/>
  <c r="F46" i="66"/>
  <c r="G46" i="66" s="1"/>
  <c r="F45" i="66"/>
  <c r="G45" i="66" s="1"/>
  <c r="F44" i="66"/>
  <c r="G44" i="66" s="1"/>
  <c r="F43" i="66"/>
  <c r="G43" i="66" s="1"/>
  <c r="F42" i="66"/>
  <c r="G42" i="66" s="1"/>
  <c r="F41" i="66"/>
  <c r="G41" i="66" s="1"/>
  <c r="F40" i="66"/>
  <c r="G40" i="66" s="1"/>
  <c r="F39" i="66"/>
  <c r="G39" i="66" s="1"/>
  <c r="F38" i="66"/>
  <c r="G38" i="66" s="1"/>
  <c r="F37" i="66"/>
  <c r="G37" i="66" s="1"/>
  <c r="F36" i="66"/>
  <c r="G36" i="66" s="1"/>
  <c r="F35" i="66"/>
  <c r="G35" i="66" s="1"/>
  <c r="F34" i="66"/>
  <c r="G34" i="66" s="1"/>
  <c r="F33" i="66"/>
  <c r="G33" i="66" s="1"/>
  <c r="F32" i="66"/>
  <c r="G32" i="66" s="1"/>
  <c r="F31" i="66"/>
  <c r="G31" i="66" s="1"/>
  <c r="F30" i="66"/>
  <c r="G30" i="66" s="1"/>
  <c r="F29" i="66"/>
  <c r="F48" i="66" s="1"/>
  <c r="L23" i="66"/>
  <c r="F23" i="66"/>
  <c r="G23" i="66" s="1"/>
  <c r="F22" i="66"/>
  <c r="G22" i="66" s="1"/>
  <c r="F21" i="66"/>
  <c r="G21" i="66" s="1"/>
  <c r="F20" i="66"/>
  <c r="G20" i="66" s="1"/>
  <c r="F19" i="66"/>
  <c r="G19" i="66" s="1"/>
  <c r="F18" i="66"/>
  <c r="G18" i="66" s="1"/>
  <c r="F17" i="66"/>
  <c r="G17" i="66" s="1"/>
  <c r="F16" i="66"/>
  <c r="G16" i="66" s="1"/>
  <c r="F15" i="66"/>
  <c r="G15" i="66" s="1"/>
  <c r="F14" i="66"/>
  <c r="G14" i="66" s="1"/>
  <c r="F13" i="66"/>
  <c r="G13" i="66" s="1"/>
  <c r="F12" i="66"/>
  <c r="G12" i="66" s="1"/>
  <c r="F11" i="66"/>
  <c r="G11" i="66" s="1"/>
  <c r="F10" i="66"/>
  <c r="G10" i="66" s="1"/>
  <c r="F9" i="66"/>
  <c r="G9" i="66" s="1"/>
  <c r="F8" i="66"/>
  <c r="G8" i="66" s="1"/>
  <c r="F7" i="66"/>
  <c r="G7" i="66" s="1"/>
  <c r="F6" i="66"/>
  <c r="G6" i="66" s="1"/>
  <c r="F5" i="66"/>
  <c r="F24" i="66" s="1"/>
  <c r="L47" i="65"/>
  <c r="F47" i="65"/>
  <c r="G47" i="65" s="1"/>
  <c r="F46" i="65"/>
  <c r="G46" i="65" s="1"/>
  <c r="F45" i="65"/>
  <c r="G45" i="65" s="1"/>
  <c r="F44" i="65"/>
  <c r="G44" i="65" s="1"/>
  <c r="F43" i="65"/>
  <c r="G43" i="65" s="1"/>
  <c r="F42" i="65"/>
  <c r="G42" i="65" s="1"/>
  <c r="F41" i="65"/>
  <c r="G41" i="65" s="1"/>
  <c r="F40" i="65"/>
  <c r="G40" i="65" s="1"/>
  <c r="F39" i="65"/>
  <c r="G39" i="65" s="1"/>
  <c r="F38" i="65"/>
  <c r="G38" i="65" s="1"/>
  <c r="F37" i="65"/>
  <c r="G37" i="65" s="1"/>
  <c r="F36" i="65"/>
  <c r="G36" i="65" s="1"/>
  <c r="F35" i="65"/>
  <c r="G35" i="65" s="1"/>
  <c r="F34" i="65"/>
  <c r="G34" i="65" s="1"/>
  <c r="F33" i="65"/>
  <c r="G33" i="65" s="1"/>
  <c r="F32" i="65"/>
  <c r="G32" i="65" s="1"/>
  <c r="F31" i="65"/>
  <c r="G31" i="65" s="1"/>
  <c r="F30" i="65"/>
  <c r="G30" i="65" s="1"/>
  <c r="F29" i="65"/>
  <c r="F48" i="65" s="1"/>
  <c r="L23" i="65"/>
  <c r="F23" i="65"/>
  <c r="G23" i="65" s="1"/>
  <c r="F22" i="65"/>
  <c r="G22" i="65" s="1"/>
  <c r="F21" i="65"/>
  <c r="G21" i="65" s="1"/>
  <c r="F20" i="65"/>
  <c r="G20" i="65" s="1"/>
  <c r="F19" i="65"/>
  <c r="G19" i="65" s="1"/>
  <c r="F18" i="65"/>
  <c r="G18" i="65" s="1"/>
  <c r="F17" i="65"/>
  <c r="G17" i="65" s="1"/>
  <c r="F16" i="65"/>
  <c r="G16" i="65" s="1"/>
  <c r="F15" i="65"/>
  <c r="G15" i="65" s="1"/>
  <c r="F14" i="65"/>
  <c r="G14" i="65" s="1"/>
  <c r="F13" i="65"/>
  <c r="G13" i="65" s="1"/>
  <c r="F12" i="65"/>
  <c r="G12" i="65" s="1"/>
  <c r="F11" i="65"/>
  <c r="G11" i="65" s="1"/>
  <c r="F10" i="65"/>
  <c r="G10" i="65" s="1"/>
  <c r="F9" i="65"/>
  <c r="G9" i="65" s="1"/>
  <c r="F8" i="65"/>
  <c r="G8" i="65" s="1"/>
  <c r="F7" i="65"/>
  <c r="G7" i="65" s="1"/>
  <c r="F6" i="65"/>
  <c r="G6" i="65" s="1"/>
  <c r="F5" i="65"/>
  <c r="F24" i="65" s="1"/>
  <c r="L47" i="64"/>
  <c r="F47" i="64"/>
  <c r="G47" i="64" s="1"/>
  <c r="F46" i="64"/>
  <c r="G46" i="64" s="1"/>
  <c r="F45" i="64"/>
  <c r="G45" i="64" s="1"/>
  <c r="F44" i="64"/>
  <c r="G44" i="64" s="1"/>
  <c r="F43" i="64"/>
  <c r="G43" i="64" s="1"/>
  <c r="F42" i="64"/>
  <c r="G42" i="64" s="1"/>
  <c r="F41" i="64"/>
  <c r="G41" i="64" s="1"/>
  <c r="F40" i="64"/>
  <c r="G40" i="64" s="1"/>
  <c r="F39" i="64"/>
  <c r="G39" i="64" s="1"/>
  <c r="F38" i="64"/>
  <c r="G38" i="64" s="1"/>
  <c r="F37" i="64"/>
  <c r="G37" i="64" s="1"/>
  <c r="F36" i="64"/>
  <c r="G36" i="64" s="1"/>
  <c r="F35" i="64"/>
  <c r="G35" i="64" s="1"/>
  <c r="F34" i="64"/>
  <c r="G34" i="64" s="1"/>
  <c r="F33" i="64"/>
  <c r="G33" i="64" s="1"/>
  <c r="F32" i="64"/>
  <c r="G32" i="64" s="1"/>
  <c r="F31" i="64"/>
  <c r="G31" i="64" s="1"/>
  <c r="F30" i="64"/>
  <c r="G30" i="64" s="1"/>
  <c r="F29" i="64"/>
  <c r="F48" i="64" s="1"/>
  <c r="L23" i="64"/>
  <c r="F23" i="64"/>
  <c r="G23" i="64" s="1"/>
  <c r="F22" i="64"/>
  <c r="G22" i="64" s="1"/>
  <c r="F21" i="64"/>
  <c r="G21" i="64" s="1"/>
  <c r="F20" i="64"/>
  <c r="G20" i="64" s="1"/>
  <c r="F19" i="64"/>
  <c r="G19" i="64" s="1"/>
  <c r="F18" i="64"/>
  <c r="G18" i="64" s="1"/>
  <c r="F17" i="64"/>
  <c r="G17" i="64" s="1"/>
  <c r="F16" i="64"/>
  <c r="G16" i="64" s="1"/>
  <c r="F15" i="64"/>
  <c r="G15" i="64" s="1"/>
  <c r="F14" i="64"/>
  <c r="G14" i="64" s="1"/>
  <c r="F13" i="64"/>
  <c r="G13" i="64" s="1"/>
  <c r="F12" i="64"/>
  <c r="G12" i="64" s="1"/>
  <c r="F11" i="64"/>
  <c r="G11" i="64" s="1"/>
  <c r="F10" i="64"/>
  <c r="G10" i="64" s="1"/>
  <c r="F9" i="64"/>
  <c r="G9" i="64" s="1"/>
  <c r="F8" i="64"/>
  <c r="G8" i="64" s="1"/>
  <c r="F7" i="64"/>
  <c r="G7" i="64" s="1"/>
  <c r="F6" i="64"/>
  <c r="G6" i="64" s="1"/>
  <c r="F5" i="64"/>
  <c r="F24" i="64" s="1"/>
  <c r="L47" i="63"/>
  <c r="F47" i="63"/>
  <c r="G47" i="63" s="1"/>
  <c r="F46" i="63"/>
  <c r="G46" i="63" s="1"/>
  <c r="F45" i="63"/>
  <c r="G45" i="63" s="1"/>
  <c r="F44" i="63"/>
  <c r="G44" i="63" s="1"/>
  <c r="F43" i="63"/>
  <c r="G43" i="63" s="1"/>
  <c r="F42" i="63"/>
  <c r="G42" i="63" s="1"/>
  <c r="F41" i="63"/>
  <c r="G41" i="63" s="1"/>
  <c r="F40" i="63"/>
  <c r="G40" i="63" s="1"/>
  <c r="F39" i="63"/>
  <c r="G39" i="63" s="1"/>
  <c r="F38" i="63"/>
  <c r="G38" i="63" s="1"/>
  <c r="F37" i="63"/>
  <c r="G37" i="63" s="1"/>
  <c r="F36" i="63"/>
  <c r="G36" i="63" s="1"/>
  <c r="F35" i="63"/>
  <c r="G35" i="63" s="1"/>
  <c r="F34" i="63"/>
  <c r="G34" i="63" s="1"/>
  <c r="F33" i="63"/>
  <c r="G33" i="63" s="1"/>
  <c r="F32" i="63"/>
  <c r="G32" i="63" s="1"/>
  <c r="F31" i="63"/>
  <c r="G31" i="63" s="1"/>
  <c r="F30" i="63"/>
  <c r="G30" i="63" s="1"/>
  <c r="F29" i="63"/>
  <c r="F48" i="63" s="1"/>
  <c r="L23" i="63"/>
  <c r="F23" i="63"/>
  <c r="G23" i="63" s="1"/>
  <c r="F22" i="63"/>
  <c r="G22" i="63" s="1"/>
  <c r="F21" i="63"/>
  <c r="G21" i="63" s="1"/>
  <c r="F20" i="63"/>
  <c r="G20" i="63" s="1"/>
  <c r="F19" i="63"/>
  <c r="G19" i="63" s="1"/>
  <c r="F18" i="63"/>
  <c r="G18" i="63" s="1"/>
  <c r="F17" i="63"/>
  <c r="G17" i="63" s="1"/>
  <c r="F16" i="63"/>
  <c r="G16" i="63" s="1"/>
  <c r="F15" i="63"/>
  <c r="G15" i="63" s="1"/>
  <c r="F14" i="63"/>
  <c r="G14" i="63" s="1"/>
  <c r="F13" i="63"/>
  <c r="G13" i="63" s="1"/>
  <c r="F12" i="63"/>
  <c r="G12" i="63" s="1"/>
  <c r="F11" i="63"/>
  <c r="G11" i="63" s="1"/>
  <c r="F10" i="63"/>
  <c r="G10" i="63" s="1"/>
  <c r="F9" i="63"/>
  <c r="G9" i="63" s="1"/>
  <c r="F8" i="63"/>
  <c r="G8" i="63" s="1"/>
  <c r="F7" i="63"/>
  <c r="G7" i="63" s="1"/>
  <c r="F6" i="63"/>
  <c r="G6" i="63" s="1"/>
  <c r="F5" i="63"/>
  <c r="F24" i="63" s="1"/>
  <c r="L47" i="62"/>
  <c r="F47" i="62"/>
  <c r="G47" i="62" s="1"/>
  <c r="F46" i="62"/>
  <c r="G46" i="62" s="1"/>
  <c r="F45" i="62"/>
  <c r="G45" i="62" s="1"/>
  <c r="F44" i="62"/>
  <c r="G44" i="62" s="1"/>
  <c r="F43" i="62"/>
  <c r="G43" i="62" s="1"/>
  <c r="F42" i="62"/>
  <c r="G42" i="62" s="1"/>
  <c r="F41" i="62"/>
  <c r="G41" i="62" s="1"/>
  <c r="F40" i="62"/>
  <c r="G40" i="62" s="1"/>
  <c r="F39" i="62"/>
  <c r="G39" i="62" s="1"/>
  <c r="F38" i="62"/>
  <c r="G38" i="62" s="1"/>
  <c r="F37" i="62"/>
  <c r="G37" i="62" s="1"/>
  <c r="F36" i="62"/>
  <c r="G36" i="62" s="1"/>
  <c r="F35" i="62"/>
  <c r="G35" i="62" s="1"/>
  <c r="F34" i="62"/>
  <c r="G34" i="62" s="1"/>
  <c r="F33" i="62"/>
  <c r="G33" i="62" s="1"/>
  <c r="F32" i="62"/>
  <c r="G32" i="62" s="1"/>
  <c r="F31" i="62"/>
  <c r="G31" i="62" s="1"/>
  <c r="F30" i="62"/>
  <c r="G30" i="62" s="1"/>
  <c r="F29" i="62"/>
  <c r="F48" i="62" s="1"/>
  <c r="L23" i="62"/>
  <c r="F23" i="62"/>
  <c r="G23" i="62" s="1"/>
  <c r="F22" i="62"/>
  <c r="G22" i="62" s="1"/>
  <c r="F21" i="62"/>
  <c r="G21" i="62" s="1"/>
  <c r="F20" i="62"/>
  <c r="G20" i="62" s="1"/>
  <c r="F19" i="62"/>
  <c r="G19" i="62" s="1"/>
  <c r="F18" i="62"/>
  <c r="G18" i="62" s="1"/>
  <c r="F17" i="62"/>
  <c r="G17" i="62" s="1"/>
  <c r="F16" i="62"/>
  <c r="G16" i="62" s="1"/>
  <c r="F15" i="62"/>
  <c r="G15" i="62" s="1"/>
  <c r="F14" i="62"/>
  <c r="G14" i="62" s="1"/>
  <c r="F13" i="62"/>
  <c r="G13" i="62" s="1"/>
  <c r="F12" i="62"/>
  <c r="G12" i="62" s="1"/>
  <c r="F11" i="62"/>
  <c r="G11" i="62" s="1"/>
  <c r="F10" i="62"/>
  <c r="G10" i="62" s="1"/>
  <c r="F9" i="62"/>
  <c r="G9" i="62" s="1"/>
  <c r="F8" i="62"/>
  <c r="G8" i="62" s="1"/>
  <c r="F7" i="62"/>
  <c r="G7" i="62" s="1"/>
  <c r="F6" i="62"/>
  <c r="G6" i="62" s="1"/>
  <c r="F5" i="62"/>
  <c r="F24" i="62" s="1"/>
  <c r="L47" i="61"/>
  <c r="F47" i="61"/>
  <c r="G47" i="61" s="1"/>
  <c r="F46" i="61"/>
  <c r="G46" i="61" s="1"/>
  <c r="F45" i="61"/>
  <c r="G45" i="61" s="1"/>
  <c r="F44" i="61"/>
  <c r="G44" i="61" s="1"/>
  <c r="F43" i="61"/>
  <c r="G43" i="61" s="1"/>
  <c r="F42" i="61"/>
  <c r="G42" i="61" s="1"/>
  <c r="F41" i="61"/>
  <c r="G41" i="61" s="1"/>
  <c r="F40" i="61"/>
  <c r="G40" i="61" s="1"/>
  <c r="F39" i="61"/>
  <c r="G39" i="61" s="1"/>
  <c r="F38" i="61"/>
  <c r="G38" i="61" s="1"/>
  <c r="F37" i="61"/>
  <c r="G37" i="61" s="1"/>
  <c r="F36" i="61"/>
  <c r="G36" i="61" s="1"/>
  <c r="F35" i="61"/>
  <c r="G35" i="61" s="1"/>
  <c r="F34" i="61"/>
  <c r="G34" i="61" s="1"/>
  <c r="F33" i="61"/>
  <c r="G33" i="61" s="1"/>
  <c r="F32" i="61"/>
  <c r="G32" i="61" s="1"/>
  <c r="F31" i="61"/>
  <c r="G31" i="61" s="1"/>
  <c r="F30" i="61"/>
  <c r="G30" i="61" s="1"/>
  <c r="F29" i="61"/>
  <c r="F48" i="61" s="1"/>
  <c r="L23" i="61"/>
  <c r="F23" i="61"/>
  <c r="G23" i="61" s="1"/>
  <c r="F22" i="61"/>
  <c r="G22" i="61" s="1"/>
  <c r="F21" i="61"/>
  <c r="G21" i="61" s="1"/>
  <c r="F20" i="61"/>
  <c r="G20" i="61" s="1"/>
  <c r="F19" i="61"/>
  <c r="G19" i="61" s="1"/>
  <c r="F18" i="61"/>
  <c r="G18" i="61" s="1"/>
  <c r="F17" i="61"/>
  <c r="G17" i="61" s="1"/>
  <c r="F16" i="61"/>
  <c r="G16" i="61" s="1"/>
  <c r="F15" i="61"/>
  <c r="G15" i="61" s="1"/>
  <c r="F14" i="61"/>
  <c r="G14" i="61" s="1"/>
  <c r="F13" i="61"/>
  <c r="G13" i="61" s="1"/>
  <c r="F12" i="61"/>
  <c r="G12" i="61" s="1"/>
  <c r="F11" i="61"/>
  <c r="G11" i="61" s="1"/>
  <c r="F10" i="61"/>
  <c r="G10" i="61" s="1"/>
  <c r="F9" i="61"/>
  <c r="G9" i="61" s="1"/>
  <c r="F8" i="61"/>
  <c r="G8" i="61" s="1"/>
  <c r="F7" i="61"/>
  <c r="G7" i="61" s="1"/>
  <c r="F6" i="61"/>
  <c r="G6" i="61" s="1"/>
  <c r="F5" i="61"/>
  <c r="F24" i="61" s="1"/>
  <c r="L47" i="60"/>
  <c r="F47" i="60"/>
  <c r="G47" i="60" s="1"/>
  <c r="F46" i="60"/>
  <c r="G46" i="60" s="1"/>
  <c r="F45" i="60"/>
  <c r="G45" i="60" s="1"/>
  <c r="F44" i="60"/>
  <c r="G44" i="60" s="1"/>
  <c r="F43" i="60"/>
  <c r="G43" i="60" s="1"/>
  <c r="F42" i="60"/>
  <c r="G42" i="60" s="1"/>
  <c r="F41" i="60"/>
  <c r="G41" i="60" s="1"/>
  <c r="F40" i="60"/>
  <c r="G40" i="60" s="1"/>
  <c r="F39" i="60"/>
  <c r="G39" i="60" s="1"/>
  <c r="F38" i="60"/>
  <c r="G38" i="60" s="1"/>
  <c r="F37" i="60"/>
  <c r="G37" i="60" s="1"/>
  <c r="F36" i="60"/>
  <c r="G36" i="60" s="1"/>
  <c r="F35" i="60"/>
  <c r="G35" i="60" s="1"/>
  <c r="F34" i="60"/>
  <c r="G34" i="60" s="1"/>
  <c r="F33" i="60"/>
  <c r="G33" i="60" s="1"/>
  <c r="F32" i="60"/>
  <c r="G32" i="60" s="1"/>
  <c r="F31" i="60"/>
  <c r="G31" i="60" s="1"/>
  <c r="F30" i="60"/>
  <c r="G30" i="60" s="1"/>
  <c r="F29" i="60"/>
  <c r="F48" i="60" s="1"/>
  <c r="L23" i="60"/>
  <c r="F23" i="60"/>
  <c r="G23" i="60" s="1"/>
  <c r="F22" i="60"/>
  <c r="G22" i="60" s="1"/>
  <c r="F21" i="60"/>
  <c r="G21" i="60" s="1"/>
  <c r="F20" i="60"/>
  <c r="G20" i="60" s="1"/>
  <c r="F19" i="60"/>
  <c r="G19" i="60" s="1"/>
  <c r="F18" i="60"/>
  <c r="G18" i="60" s="1"/>
  <c r="F17" i="60"/>
  <c r="G17" i="60" s="1"/>
  <c r="F16" i="60"/>
  <c r="G16" i="60" s="1"/>
  <c r="F15" i="60"/>
  <c r="G15" i="60" s="1"/>
  <c r="F14" i="60"/>
  <c r="G14" i="60" s="1"/>
  <c r="F13" i="60"/>
  <c r="G13" i="60" s="1"/>
  <c r="F12" i="60"/>
  <c r="G12" i="60" s="1"/>
  <c r="F11" i="60"/>
  <c r="G11" i="60" s="1"/>
  <c r="F10" i="60"/>
  <c r="G10" i="60" s="1"/>
  <c r="F9" i="60"/>
  <c r="G9" i="60" s="1"/>
  <c r="F8" i="60"/>
  <c r="G8" i="60" s="1"/>
  <c r="F7" i="60"/>
  <c r="G7" i="60" s="1"/>
  <c r="F6" i="60"/>
  <c r="G6" i="60" s="1"/>
  <c r="F5" i="60"/>
  <c r="F24" i="60" s="1"/>
  <c r="L47" i="59"/>
  <c r="F47" i="59"/>
  <c r="G47" i="59" s="1"/>
  <c r="F46" i="59"/>
  <c r="G46" i="59" s="1"/>
  <c r="F45" i="59"/>
  <c r="G45" i="59" s="1"/>
  <c r="F44" i="59"/>
  <c r="G44" i="59" s="1"/>
  <c r="F43" i="59"/>
  <c r="G43" i="59" s="1"/>
  <c r="F42" i="59"/>
  <c r="G42" i="59" s="1"/>
  <c r="F41" i="59"/>
  <c r="G41" i="59" s="1"/>
  <c r="F40" i="59"/>
  <c r="G40" i="59" s="1"/>
  <c r="F39" i="59"/>
  <c r="G39" i="59" s="1"/>
  <c r="F38" i="59"/>
  <c r="G38" i="59" s="1"/>
  <c r="F37" i="59"/>
  <c r="G37" i="59" s="1"/>
  <c r="F36" i="59"/>
  <c r="G36" i="59" s="1"/>
  <c r="F35" i="59"/>
  <c r="G35" i="59" s="1"/>
  <c r="F34" i="59"/>
  <c r="G34" i="59" s="1"/>
  <c r="F33" i="59"/>
  <c r="G33" i="59" s="1"/>
  <c r="F32" i="59"/>
  <c r="G32" i="59" s="1"/>
  <c r="F31" i="59"/>
  <c r="G31" i="59" s="1"/>
  <c r="F30" i="59"/>
  <c r="G30" i="59" s="1"/>
  <c r="F29" i="59"/>
  <c r="F48" i="59" s="1"/>
  <c r="L23" i="59"/>
  <c r="F23" i="59"/>
  <c r="G23" i="59" s="1"/>
  <c r="G22" i="59"/>
  <c r="F22" i="59"/>
  <c r="F21" i="59"/>
  <c r="G21" i="59" s="1"/>
  <c r="G20" i="59"/>
  <c r="F20" i="59"/>
  <c r="F19" i="59"/>
  <c r="G19" i="59" s="1"/>
  <c r="G18" i="59"/>
  <c r="F18" i="59"/>
  <c r="F17" i="59"/>
  <c r="G17" i="59" s="1"/>
  <c r="G16" i="59"/>
  <c r="F16" i="59"/>
  <c r="F15" i="59"/>
  <c r="G15" i="59" s="1"/>
  <c r="G14" i="59"/>
  <c r="F14" i="59"/>
  <c r="F13" i="59"/>
  <c r="G13" i="59" s="1"/>
  <c r="G12" i="59"/>
  <c r="F12" i="59"/>
  <c r="F11" i="59"/>
  <c r="G11" i="59" s="1"/>
  <c r="G10" i="59"/>
  <c r="F10" i="59"/>
  <c r="F9" i="59"/>
  <c r="G9" i="59" s="1"/>
  <c r="G8" i="59"/>
  <c r="F8" i="59"/>
  <c r="F7" i="59"/>
  <c r="G7" i="59" s="1"/>
  <c r="G6" i="59"/>
  <c r="F6" i="59"/>
  <c r="F5" i="59"/>
  <c r="F24" i="59" s="1"/>
  <c r="L47" i="57"/>
  <c r="F47" i="57"/>
  <c r="G47" i="57" s="1"/>
  <c r="F46" i="57"/>
  <c r="G46" i="57" s="1"/>
  <c r="F45" i="57"/>
  <c r="G45" i="57" s="1"/>
  <c r="F44" i="57"/>
  <c r="G44" i="57" s="1"/>
  <c r="F43" i="57"/>
  <c r="G43" i="57" s="1"/>
  <c r="F42" i="57"/>
  <c r="G42" i="57" s="1"/>
  <c r="F41" i="57"/>
  <c r="G41" i="57" s="1"/>
  <c r="F40" i="57"/>
  <c r="G40" i="57" s="1"/>
  <c r="F39" i="57"/>
  <c r="G39" i="57" s="1"/>
  <c r="F38" i="57"/>
  <c r="G38" i="57" s="1"/>
  <c r="F37" i="57"/>
  <c r="G37" i="57" s="1"/>
  <c r="F36" i="57"/>
  <c r="G36" i="57" s="1"/>
  <c r="F35" i="57"/>
  <c r="G35" i="57" s="1"/>
  <c r="F34" i="57"/>
  <c r="G34" i="57" s="1"/>
  <c r="F33" i="57"/>
  <c r="G33" i="57" s="1"/>
  <c r="F32" i="57"/>
  <c r="G32" i="57" s="1"/>
  <c r="F31" i="57"/>
  <c r="G31" i="57" s="1"/>
  <c r="F30" i="57"/>
  <c r="G30" i="57" s="1"/>
  <c r="F29" i="57"/>
  <c r="F48" i="57" s="1"/>
  <c r="L23" i="57"/>
  <c r="F23" i="57"/>
  <c r="G23" i="57" s="1"/>
  <c r="F22" i="57"/>
  <c r="G22" i="57" s="1"/>
  <c r="F21" i="57"/>
  <c r="G21" i="57" s="1"/>
  <c r="F20" i="57"/>
  <c r="G20" i="57" s="1"/>
  <c r="F19" i="57"/>
  <c r="G19" i="57" s="1"/>
  <c r="F18" i="57"/>
  <c r="G18" i="57" s="1"/>
  <c r="F17" i="57"/>
  <c r="G17" i="57" s="1"/>
  <c r="F16" i="57"/>
  <c r="G16" i="57" s="1"/>
  <c r="F15" i="57"/>
  <c r="G15" i="57" s="1"/>
  <c r="F14" i="57"/>
  <c r="G14" i="57" s="1"/>
  <c r="F13" i="57"/>
  <c r="G13" i="57" s="1"/>
  <c r="F12" i="57"/>
  <c r="G12" i="57" s="1"/>
  <c r="F11" i="57"/>
  <c r="G11" i="57" s="1"/>
  <c r="F10" i="57"/>
  <c r="G10" i="57" s="1"/>
  <c r="F9" i="57"/>
  <c r="G9" i="57" s="1"/>
  <c r="F8" i="57"/>
  <c r="G8" i="57" s="1"/>
  <c r="F7" i="57"/>
  <c r="G7" i="57" s="1"/>
  <c r="F6" i="57"/>
  <c r="G6" i="57" s="1"/>
  <c r="F5" i="57"/>
  <c r="F24" i="57" s="1"/>
  <c r="L47" i="58"/>
  <c r="F47" i="58"/>
  <c r="G47" i="58" s="1"/>
  <c r="F46" i="58"/>
  <c r="G46" i="58" s="1"/>
  <c r="F45" i="58"/>
  <c r="G45" i="58" s="1"/>
  <c r="F44" i="58"/>
  <c r="G44" i="58" s="1"/>
  <c r="F43" i="58"/>
  <c r="G43" i="58" s="1"/>
  <c r="F42" i="58"/>
  <c r="G42" i="58" s="1"/>
  <c r="F41" i="58"/>
  <c r="G41" i="58" s="1"/>
  <c r="F40" i="58"/>
  <c r="G40" i="58" s="1"/>
  <c r="F39" i="58"/>
  <c r="G39" i="58" s="1"/>
  <c r="F38" i="58"/>
  <c r="G38" i="58" s="1"/>
  <c r="F37" i="58"/>
  <c r="G37" i="58" s="1"/>
  <c r="F36" i="58"/>
  <c r="G36" i="58" s="1"/>
  <c r="F35" i="58"/>
  <c r="G35" i="58" s="1"/>
  <c r="F34" i="58"/>
  <c r="G34" i="58" s="1"/>
  <c r="F33" i="58"/>
  <c r="G33" i="58" s="1"/>
  <c r="F32" i="58"/>
  <c r="G32" i="58" s="1"/>
  <c r="F31" i="58"/>
  <c r="G31" i="58" s="1"/>
  <c r="F30" i="58"/>
  <c r="G30" i="58" s="1"/>
  <c r="F29" i="58"/>
  <c r="F48" i="58" s="1"/>
  <c r="L23" i="58"/>
  <c r="F23" i="58"/>
  <c r="G23" i="58" s="1"/>
  <c r="F22" i="58"/>
  <c r="G22" i="58" s="1"/>
  <c r="F21" i="58"/>
  <c r="G21" i="58" s="1"/>
  <c r="F20" i="58"/>
  <c r="G20" i="58" s="1"/>
  <c r="F19" i="58"/>
  <c r="G19" i="58" s="1"/>
  <c r="F18" i="58"/>
  <c r="G18" i="58" s="1"/>
  <c r="F17" i="58"/>
  <c r="G17" i="58" s="1"/>
  <c r="F16" i="58"/>
  <c r="G16" i="58" s="1"/>
  <c r="F15" i="58"/>
  <c r="G15" i="58" s="1"/>
  <c r="F14" i="58"/>
  <c r="G14" i="58" s="1"/>
  <c r="F13" i="58"/>
  <c r="G13" i="58" s="1"/>
  <c r="F12" i="58"/>
  <c r="G12" i="58" s="1"/>
  <c r="F11" i="58"/>
  <c r="G11" i="58" s="1"/>
  <c r="F10" i="58"/>
  <c r="G10" i="58" s="1"/>
  <c r="F9" i="58"/>
  <c r="G9" i="58" s="1"/>
  <c r="F8" i="58"/>
  <c r="G8" i="58" s="1"/>
  <c r="F7" i="58"/>
  <c r="G7" i="58" s="1"/>
  <c r="F6" i="58"/>
  <c r="G6" i="58" s="1"/>
  <c r="F5" i="58"/>
  <c r="F24" i="58" s="1"/>
  <c r="L47" i="56"/>
  <c r="F47" i="56"/>
  <c r="G47" i="56" s="1"/>
  <c r="F46" i="56"/>
  <c r="G46" i="56" s="1"/>
  <c r="F45" i="56"/>
  <c r="G45" i="56" s="1"/>
  <c r="F44" i="56"/>
  <c r="G44" i="56" s="1"/>
  <c r="F43" i="56"/>
  <c r="G43" i="56" s="1"/>
  <c r="F42" i="56"/>
  <c r="G42" i="56" s="1"/>
  <c r="F41" i="56"/>
  <c r="G41" i="56" s="1"/>
  <c r="F40" i="56"/>
  <c r="G40" i="56" s="1"/>
  <c r="F39" i="56"/>
  <c r="G39" i="56" s="1"/>
  <c r="F38" i="56"/>
  <c r="G38" i="56" s="1"/>
  <c r="F37" i="56"/>
  <c r="G37" i="56" s="1"/>
  <c r="F36" i="56"/>
  <c r="G36" i="56" s="1"/>
  <c r="F35" i="56"/>
  <c r="G35" i="56" s="1"/>
  <c r="F34" i="56"/>
  <c r="G34" i="56" s="1"/>
  <c r="F33" i="56"/>
  <c r="G33" i="56" s="1"/>
  <c r="F32" i="56"/>
  <c r="G32" i="56" s="1"/>
  <c r="F31" i="56"/>
  <c r="G31" i="56" s="1"/>
  <c r="F30" i="56"/>
  <c r="G30" i="56" s="1"/>
  <c r="F29" i="56"/>
  <c r="F48" i="56" s="1"/>
  <c r="L23" i="56"/>
  <c r="F23" i="56"/>
  <c r="G23" i="56" s="1"/>
  <c r="F22" i="56"/>
  <c r="G22" i="56" s="1"/>
  <c r="F21" i="56"/>
  <c r="G21" i="56" s="1"/>
  <c r="F20" i="56"/>
  <c r="G20" i="56" s="1"/>
  <c r="F19" i="56"/>
  <c r="G19" i="56" s="1"/>
  <c r="F18" i="56"/>
  <c r="G18" i="56" s="1"/>
  <c r="F17" i="56"/>
  <c r="G17" i="56" s="1"/>
  <c r="F16" i="56"/>
  <c r="G16" i="56" s="1"/>
  <c r="F15" i="56"/>
  <c r="G15" i="56" s="1"/>
  <c r="F14" i="56"/>
  <c r="G14" i="56" s="1"/>
  <c r="F13" i="56"/>
  <c r="G13" i="56" s="1"/>
  <c r="F12" i="56"/>
  <c r="G12" i="56" s="1"/>
  <c r="F11" i="56"/>
  <c r="G11" i="56" s="1"/>
  <c r="F10" i="56"/>
  <c r="G10" i="56" s="1"/>
  <c r="F9" i="56"/>
  <c r="G9" i="56" s="1"/>
  <c r="F8" i="56"/>
  <c r="G8" i="56" s="1"/>
  <c r="F7" i="56"/>
  <c r="G7" i="56" s="1"/>
  <c r="F6" i="56"/>
  <c r="G6" i="56" s="1"/>
  <c r="F5" i="56"/>
  <c r="F24" i="56" s="1"/>
  <c r="L47" i="55"/>
  <c r="F47" i="55"/>
  <c r="G47" i="55" s="1"/>
  <c r="F46" i="55"/>
  <c r="G46" i="55" s="1"/>
  <c r="F45" i="55"/>
  <c r="G45" i="55" s="1"/>
  <c r="F44" i="55"/>
  <c r="G44" i="55" s="1"/>
  <c r="F43" i="55"/>
  <c r="G43" i="55" s="1"/>
  <c r="F42" i="55"/>
  <c r="G42" i="55" s="1"/>
  <c r="F41" i="55"/>
  <c r="G41" i="55" s="1"/>
  <c r="F40" i="55"/>
  <c r="G40" i="55" s="1"/>
  <c r="F39" i="55"/>
  <c r="G39" i="55" s="1"/>
  <c r="F38" i="55"/>
  <c r="G38" i="55" s="1"/>
  <c r="F37" i="55"/>
  <c r="G37" i="55" s="1"/>
  <c r="F36" i="55"/>
  <c r="G36" i="55" s="1"/>
  <c r="F35" i="55"/>
  <c r="G35" i="55" s="1"/>
  <c r="F34" i="55"/>
  <c r="G34" i="55" s="1"/>
  <c r="F33" i="55"/>
  <c r="G33" i="55" s="1"/>
  <c r="F32" i="55"/>
  <c r="G32" i="55" s="1"/>
  <c r="F31" i="55"/>
  <c r="G31" i="55" s="1"/>
  <c r="F30" i="55"/>
  <c r="G30" i="55" s="1"/>
  <c r="F29" i="55"/>
  <c r="F48" i="55" s="1"/>
  <c r="L23" i="55"/>
  <c r="F23" i="55"/>
  <c r="G23" i="55" s="1"/>
  <c r="F22" i="55"/>
  <c r="G22" i="55" s="1"/>
  <c r="F21" i="55"/>
  <c r="G21" i="55" s="1"/>
  <c r="F20" i="55"/>
  <c r="G20" i="55" s="1"/>
  <c r="F19" i="55"/>
  <c r="G19" i="55" s="1"/>
  <c r="F18" i="55"/>
  <c r="G18" i="55" s="1"/>
  <c r="F17" i="55"/>
  <c r="G17" i="55" s="1"/>
  <c r="F16" i="55"/>
  <c r="G16" i="55" s="1"/>
  <c r="F15" i="55"/>
  <c r="G15" i="55" s="1"/>
  <c r="F14" i="55"/>
  <c r="G14" i="55" s="1"/>
  <c r="F13" i="55"/>
  <c r="G13" i="55" s="1"/>
  <c r="F12" i="55"/>
  <c r="G12" i="55" s="1"/>
  <c r="F11" i="55"/>
  <c r="G11" i="55" s="1"/>
  <c r="F10" i="55"/>
  <c r="G10" i="55" s="1"/>
  <c r="F9" i="55"/>
  <c r="G9" i="55" s="1"/>
  <c r="F8" i="55"/>
  <c r="G8" i="55" s="1"/>
  <c r="F7" i="55"/>
  <c r="G7" i="55" s="1"/>
  <c r="F6" i="55"/>
  <c r="G6" i="55" s="1"/>
  <c r="F5" i="55"/>
  <c r="F24" i="55" s="1"/>
  <c r="L47" i="54"/>
  <c r="F47" i="54"/>
  <c r="G47" i="54" s="1"/>
  <c r="F46" i="54"/>
  <c r="G46" i="54" s="1"/>
  <c r="F45" i="54"/>
  <c r="G45" i="54" s="1"/>
  <c r="F44" i="54"/>
  <c r="G44" i="54" s="1"/>
  <c r="F43" i="54"/>
  <c r="G43" i="54" s="1"/>
  <c r="F42" i="54"/>
  <c r="G42" i="54" s="1"/>
  <c r="F41" i="54"/>
  <c r="G41" i="54" s="1"/>
  <c r="F40" i="54"/>
  <c r="G40" i="54" s="1"/>
  <c r="F39" i="54"/>
  <c r="G39" i="54" s="1"/>
  <c r="F38" i="54"/>
  <c r="G38" i="54" s="1"/>
  <c r="F37" i="54"/>
  <c r="G37" i="54" s="1"/>
  <c r="F36" i="54"/>
  <c r="G36" i="54" s="1"/>
  <c r="F35" i="54"/>
  <c r="G35" i="54" s="1"/>
  <c r="F34" i="54"/>
  <c r="G34" i="54" s="1"/>
  <c r="F33" i="54"/>
  <c r="G33" i="54" s="1"/>
  <c r="F32" i="54"/>
  <c r="G32" i="54" s="1"/>
  <c r="F31" i="54"/>
  <c r="G31" i="54" s="1"/>
  <c r="F30" i="54"/>
  <c r="G30" i="54" s="1"/>
  <c r="F29" i="54"/>
  <c r="F48" i="54" s="1"/>
  <c r="L23" i="54"/>
  <c r="F23" i="54"/>
  <c r="G23" i="54" s="1"/>
  <c r="F22" i="54"/>
  <c r="G22" i="54" s="1"/>
  <c r="F21" i="54"/>
  <c r="G21" i="54" s="1"/>
  <c r="F20" i="54"/>
  <c r="G20" i="54" s="1"/>
  <c r="F19" i="54"/>
  <c r="G19" i="54" s="1"/>
  <c r="F18" i="54"/>
  <c r="G18" i="54" s="1"/>
  <c r="F17" i="54"/>
  <c r="G17" i="54" s="1"/>
  <c r="F16" i="54"/>
  <c r="G16" i="54" s="1"/>
  <c r="F15" i="54"/>
  <c r="G15" i="54" s="1"/>
  <c r="F14" i="54"/>
  <c r="G14" i="54" s="1"/>
  <c r="F13" i="54"/>
  <c r="G13" i="54" s="1"/>
  <c r="F12" i="54"/>
  <c r="G12" i="54" s="1"/>
  <c r="F11" i="54"/>
  <c r="G11" i="54" s="1"/>
  <c r="F10" i="54"/>
  <c r="G10" i="54" s="1"/>
  <c r="F9" i="54"/>
  <c r="G9" i="54" s="1"/>
  <c r="F8" i="54"/>
  <c r="G8" i="54" s="1"/>
  <c r="F7" i="54"/>
  <c r="G7" i="54" s="1"/>
  <c r="F6" i="54"/>
  <c r="G6" i="54" s="1"/>
  <c r="F5" i="54"/>
  <c r="F24" i="54" s="1"/>
  <c r="L47" i="53"/>
  <c r="F47" i="53"/>
  <c r="G47" i="53" s="1"/>
  <c r="F46" i="53"/>
  <c r="G46" i="53" s="1"/>
  <c r="F45" i="53"/>
  <c r="G45" i="53" s="1"/>
  <c r="F44" i="53"/>
  <c r="G44" i="53" s="1"/>
  <c r="F43" i="53"/>
  <c r="G43" i="53" s="1"/>
  <c r="F42" i="53"/>
  <c r="G42" i="53" s="1"/>
  <c r="F41" i="53"/>
  <c r="G41" i="53" s="1"/>
  <c r="F40" i="53"/>
  <c r="G40" i="53" s="1"/>
  <c r="F39" i="53"/>
  <c r="G39" i="53" s="1"/>
  <c r="F38" i="53"/>
  <c r="G38" i="53" s="1"/>
  <c r="F37" i="53"/>
  <c r="G37" i="53" s="1"/>
  <c r="F36" i="53"/>
  <c r="G36" i="53" s="1"/>
  <c r="F35" i="53"/>
  <c r="G35" i="53" s="1"/>
  <c r="F34" i="53"/>
  <c r="G34" i="53" s="1"/>
  <c r="F33" i="53"/>
  <c r="G33" i="53" s="1"/>
  <c r="F32" i="53"/>
  <c r="G32" i="53" s="1"/>
  <c r="F31" i="53"/>
  <c r="G31" i="53" s="1"/>
  <c r="F30" i="53"/>
  <c r="G30" i="53" s="1"/>
  <c r="F29" i="53"/>
  <c r="F48" i="53" s="1"/>
  <c r="L23" i="53"/>
  <c r="F23" i="53"/>
  <c r="G23" i="53" s="1"/>
  <c r="F22" i="53"/>
  <c r="G22" i="53" s="1"/>
  <c r="F21" i="53"/>
  <c r="G21" i="53" s="1"/>
  <c r="F20" i="53"/>
  <c r="G20" i="53" s="1"/>
  <c r="F19" i="53"/>
  <c r="G19" i="53" s="1"/>
  <c r="F18" i="53"/>
  <c r="G18" i="53" s="1"/>
  <c r="F17" i="53"/>
  <c r="G17" i="53" s="1"/>
  <c r="F16" i="53"/>
  <c r="G16" i="53" s="1"/>
  <c r="F15" i="53"/>
  <c r="G15" i="53" s="1"/>
  <c r="F14" i="53"/>
  <c r="G14" i="53" s="1"/>
  <c r="F13" i="53"/>
  <c r="G13" i="53" s="1"/>
  <c r="F12" i="53"/>
  <c r="G12" i="53" s="1"/>
  <c r="F11" i="53"/>
  <c r="G11" i="53" s="1"/>
  <c r="F10" i="53"/>
  <c r="G10" i="53" s="1"/>
  <c r="F9" i="53"/>
  <c r="G9" i="53" s="1"/>
  <c r="F8" i="53"/>
  <c r="G8" i="53" s="1"/>
  <c r="F7" i="53"/>
  <c r="G7" i="53" s="1"/>
  <c r="F6" i="53"/>
  <c r="G6" i="53" s="1"/>
  <c r="F5" i="53"/>
  <c r="F24" i="53" s="1"/>
  <c r="L47" i="52"/>
  <c r="F47" i="52"/>
  <c r="G47" i="52" s="1"/>
  <c r="F46" i="52"/>
  <c r="G46" i="52" s="1"/>
  <c r="F45" i="52"/>
  <c r="G45" i="52" s="1"/>
  <c r="F44" i="52"/>
  <c r="G44" i="52" s="1"/>
  <c r="F43" i="52"/>
  <c r="G43" i="52" s="1"/>
  <c r="F42" i="52"/>
  <c r="G42" i="52" s="1"/>
  <c r="F41" i="52"/>
  <c r="G41" i="52" s="1"/>
  <c r="F40" i="52"/>
  <c r="G40" i="52" s="1"/>
  <c r="F39" i="52"/>
  <c r="G39" i="52" s="1"/>
  <c r="F38" i="52"/>
  <c r="G38" i="52" s="1"/>
  <c r="F37" i="52"/>
  <c r="G37" i="52" s="1"/>
  <c r="F36" i="52"/>
  <c r="G36" i="52" s="1"/>
  <c r="F35" i="52"/>
  <c r="G35" i="52" s="1"/>
  <c r="F34" i="52"/>
  <c r="G34" i="52" s="1"/>
  <c r="F33" i="52"/>
  <c r="G33" i="52" s="1"/>
  <c r="F32" i="52"/>
  <c r="G32" i="52" s="1"/>
  <c r="F31" i="52"/>
  <c r="G31" i="52" s="1"/>
  <c r="F30" i="52"/>
  <c r="G30" i="52" s="1"/>
  <c r="F29" i="52"/>
  <c r="F48" i="52" s="1"/>
  <c r="L23" i="52"/>
  <c r="F23" i="52"/>
  <c r="G23" i="52" s="1"/>
  <c r="F22" i="52"/>
  <c r="G22" i="52" s="1"/>
  <c r="F21" i="52"/>
  <c r="G21" i="52" s="1"/>
  <c r="F20" i="52"/>
  <c r="G20" i="52" s="1"/>
  <c r="F19" i="52"/>
  <c r="G19" i="52" s="1"/>
  <c r="F18" i="52"/>
  <c r="G18" i="52" s="1"/>
  <c r="F17" i="52"/>
  <c r="G17" i="52" s="1"/>
  <c r="F16" i="52"/>
  <c r="G16" i="52" s="1"/>
  <c r="F15" i="52"/>
  <c r="G15" i="52" s="1"/>
  <c r="F14" i="52"/>
  <c r="G14" i="52" s="1"/>
  <c r="F13" i="52"/>
  <c r="G13" i="52" s="1"/>
  <c r="F12" i="52"/>
  <c r="G12" i="52" s="1"/>
  <c r="F11" i="52"/>
  <c r="G11" i="52" s="1"/>
  <c r="F10" i="52"/>
  <c r="G10" i="52" s="1"/>
  <c r="F9" i="52"/>
  <c r="G9" i="52" s="1"/>
  <c r="F8" i="52"/>
  <c r="G8" i="52" s="1"/>
  <c r="F7" i="52"/>
  <c r="G7" i="52" s="1"/>
  <c r="F6" i="52"/>
  <c r="G6" i="52" s="1"/>
  <c r="F5" i="52"/>
  <c r="F24" i="52" s="1"/>
  <c r="L47" i="51"/>
  <c r="F47" i="51"/>
  <c r="G47" i="51" s="1"/>
  <c r="F46" i="51"/>
  <c r="G46" i="51" s="1"/>
  <c r="F45" i="51"/>
  <c r="G45" i="51" s="1"/>
  <c r="F44" i="51"/>
  <c r="G44" i="51" s="1"/>
  <c r="F43" i="51"/>
  <c r="G43" i="51" s="1"/>
  <c r="F42" i="51"/>
  <c r="G42" i="51" s="1"/>
  <c r="F41" i="51"/>
  <c r="G41" i="51" s="1"/>
  <c r="F40" i="51"/>
  <c r="G40" i="51" s="1"/>
  <c r="F39" i="51"/>
  <c r="G39" i="51" s="1"/>
  <c r="F38" i="51"/>
  <c r="G38" i="51" s="1"/>
  <c r="F37" i="51"/>
  <c r="G37" i="51" s="1"/>
  <c r="F36" i="51"/>
  <c r="G36" i="51" s="1"/>
  <c r="F35" i="51"/>
  <c r="G35" i="51" s="1"/>
  <c r="F34" i="51"/>
  <c r="G34" i="51" s="1"/>
  <c r="F33" i="51"/>
  <c r="G33" i="51" s="1"/>
  <c r="F32" i="51"/>
  <c r="G32" i="51" s="1"/>
  <c r="F31" i="51"/>
  <c r="G31" i="51" s="1"/>
  <c r="F30" i="51"/>
  <c r="G30" i="51" s="1"/>
  <c r="F29" i="51"/>
  <c r="F48" i="51" s="1"/>
  <c r="L23" i="51"/>
  <c r="F23" i="51"/>
  <c r="G23" i="51" s="1"/>
  <c r="F22" i="51"/>
  <c r="G22" i="51" s="1"/>
  <c r="F21" i="51"/>
  <c r="G21" i="51" s="1"/>
  <c r="F20" i="51"/>
  <c r="G20" i="51" s="1"/>
  <c r="F19" i="51"/>
  <c r="G19" i="51" s="1"/>
  <c r="F18" i="51"/>
  <c r="G18" i="51" s="1"/>
  <c r="F17" i="51"/>
  <c r="G17" i="51" s="1"/>
  <c r="F16" i="51"/>
  <c r="G16" i="51" s="1"/>
  <c r="F15" i="51"/>
  <c r="G15" i="51" s="1"/>
  <c r="F14" i="51"/>
  <c r="G14" i="51" s="1"/>
  <c r="F13" i="51"/>
  <c r="G13" i="51" s="1"/>
  <c r="F12" i="51"/>
  <c r="G12" i="51" s="1"/>
  <c r="F11" i="51"/>
  <c r="G11" i="51" s="1"/>
  <c r="F10" i="51"/>
  <c r="G10" i="51" s="1"/>
  <c r="F9" i="51"/>
  <c r="G9" i="51" s="1"/>
  <c r="F8" i="51"/>
  <c r="G8" i="51" s="1"/>
  <c r="F7" i="51"/>
  <c r="G7" i="51" s="1"/>
  <c r="F6" i="51"/>
  <c r="G6" i="51" s="1"/>
  <c r="F5" i="51"/>
  <c r="F24" i="51" s="1"/>
  <c r="L47" i="50"/>
  <c r="F47" i="50"/>
  <c r="G47" i="50" s="1"/>
  <c r="F46" i="50"/>
  <c r="G46" i="50" s="1"/>
  <c r="F45" i="50"/>
  <c r="G45" i="50" s="1"/>
  <c r="F44" i="50"/>
  <c r="G44" i="50" s="1"/>
  <c r="F43" i="50"/>
  <c r="G43" i="50" s="1"/>
  <c r="F42" i="50"/>
  <c r="G42" i="50" s="1"/>
  <c r="F41" i="50"/>
  <c r="G41" i="50" s="1"/>
  <c r="F40" i="50"/>
  <c r="G40" i="50" s="1"/>
  <c r="F39" i="50"/>
  <c r="G39" i="50" s="1"/>
  <c r="F38" i="50"/>
  <c r="G38" i="50" s="1"/>
  <c r="F37" i="50"/>
  <c r="G37" i="50" s="1"/>
  <c r="F36" i="50"/>
  <c r="G36" i="50" s="1"/>
  <c r="F35" i="50"/>
  <c r="G35" i="50" s="1"/>
  <c r="F34" i="50"/>
  <c r="G34" i="50" s="1"/>
  <c r="F33" i="50"/>
  <c r="G33" i="50" s="1"/>
  <c r="F32" i="50"/>
  <c r="G32" i="50" s="1"/>
  <c r="F31" i="50"/>
  <c r="G31" i="50" s="1"/>
  <c r="F30" i="50"/>
  <c r="G30" i="50" s="1"/>
  <c r="F29" i="50"/>
  <c r="F48" i="50" s="1"/>
  <c r="L23" i="50"/>
  <c r="F23" i="50"/>
  <c r="G23" i="50" s="1"/>
  <c r="F22" i="50"/>
  <c r="G22" i="50" s="1"/>
  <c r="F21" i="50"/>
  <c r="G21" i="50" s="1"/>
  <c r="F20" i="50"/>
  <c r="G20" i="50" s="1"/>
  <c r="F19" i="50"/>
  <c r="G19" i="50" s="1"/>
  <c r="F18" i="50"/>
  <c r="G18" i="50" s="1"/>
  <c r="F17" i="50"/>
  <c r="G17" i="50" s="1"/>
  <c r="F16" i="50"/>
  <c r="G16" i="50" s="1"/>
  <c r="F15" i="50"/>
  <c r="G15" i="50" s="1"/>
  <c r="F14" i="50"/>
  <c r="G14" i="50" s="1"/>
  <c r="F13" i="50"/>
  <c r="G13" i="50" s="1"/>
  <c r="F12" i="50"/>
  <c r="G12" i="50" s="1"/>
  <c r="F11" i="50"/>
  <c r="G11" i="50" s="1"/>
  <c r="F10" i="50"/>
  <c r="G10" i="50" s="1"/>
  <c r="F9" i="50"/>
  <c r="G9" i="50" s="1"/>
  <c r="F8" i="50"/>
  <c r="G8" i="50" s="1"/>
  <c r="F7" i="50"/>
  <c r="G7" i="50" s="1"/>
  <c r="F6" i="50"/>
  <c r="G6" i="50" s="1"/>
  <c r="F5" i="50"/>
  <c r="F24" i="50" s="1"/>
  <c r="L47" i="49"/>
  <c r="F47" i="49"/>
  <c r="G47" i="49" s="1"/>
  <c r="F46" i="49"/>
  <c r="G46" i="49" s="1"/>
  <c r="F45" i="49"/>
  <c r="G45" i="49" s="1"/>
  <c r="F44" i="49"/>
  <c r="G44" i="49" s="1"/>
  <c r="F43" i="49"/>
  <c r="G43" i="49" s="1"/>
  <c r="F42" i="49"/>
  <c r="G42" i="49" s="1"/>
  <c r="F41" i="49"/>
  <c r="G41" i="49" s="1"/>
  <c r="F40" i="49"/>
  <c r="G40" i="49" s="1"/>
  <c r="F39" i="49"/>
  <c r="G39" i="49" s="1"/>
  <c r="F38" i="49"/>
  <c r="G38" i="49" s="1"/>
  <c r="F37" i="49"/>
  <c r="G37" i="49" s="1"/>
  <c r="F36" i="49"/>
  <c r="G36" i="49" s="1"/>
  <c r="F35" i="49"/>
  <c r="G35" i="49" s="1"/>
  <c r="F34" i="49"/>
  <c r="G34" i="49" s="1"/>
  <c r="F33" i="49"/>
  <c r="G33" i="49" s="1"/>
  <c r="F32" i="49"/>
  <c r="G32" i="49" s="1"/>
  <c r="F31" i="49"/>
  <c r="G31" i="49" s="1"/>
  <c r="F30" i="49"/>
  <c r="G30" i="49" s="1"/>
  <c r="F29" i="49"/>
  <c r="F48" i="49" s="1"/>
  <c r="L23" i="49"/>
  <c r="F23" i="49"/>
  <c r="G23" i="49" s="1"/>
  <c r="F22" i="49"/>
  <c r="G22" i="49" s="1"/>
  <c r="F21" i="49"/>
  <c r="G21" i="49" s="1"/>
  <c r="F20" i="49"/>
  <c r="G20" i="49" s="1"/>
  <c r="F19" i="49"/>
  <c r="G19" i="49" s="1"/>
  <c r="F18" i="49"/>
  <c r="G18" i="49" s="1"/>
  <c r="F17" i="49"/>
  <c r="G17" i="49" s="1"/>
  <c r="F16" i="49"/>
  <c r="G16" i="49" s="1"/>
  <c r="F15" i="49"/>
  <c r="G15" i="49" s="1"/>
  <c r="F14" i="49"/>
  <c r="G14" i="49" s="1"/>
  <c r="F13" i="49"/>
  <c r="G13" i="49" s="1"/>
  <c r="F12" i="49"/>
  <c r="G12" i="49" s="1"/>
  <c r="F11" i="49"/>
  <c r="G11" i="49" s="1"/>
  <c r="F10" i="49"/>
  <c r="G10" i="49" s="1"/>
  <c r="F9" i="49"/>
  <c r="G9" i="49" s="1"/>
  <c r="F8" i="49"/>
  <c r="G8" i="49" s="1"/>
  <c r="F7" i="49"/>
  <c r="G7" i="49" s="1"/>
  <c r="F6" i="49"/>
  <c r="G6" i="49" s="1"/>
  <c r="F5" i="49"/>
  <c r="F24" i="49" s="1"/>
  <c r="L47" i="48"/>
  <c r="F47" i="48"/>
  <c r="G47" i="48" s="1"/>
  <c r="F46" i="48"/>
  <c r="G46" i="48" s="1"/>
  <c r="F45" i="48"/>
  <c r="G45" i="48" s="1"/>
  <c r="F44" i="48"/>
  <c r="G44" i="48" s="1"/>
  <c r="F43" i="48"/>
  <c r="G43" i="48" s="1"/>
  <c r="F42" i="48"/>
  <c r="G42" i="48" s="1"/>
  <c r="F41" i="48"/>
  <c r="G41" i="48" s="1"/>
  <c r="F40" i="48"/>
  <c r="G40" i="48" s="1"/>
  <c r="F39" i="48"/>
  <c r="G39" i="48" s="1"/>
  <c r="F38" i="48"/>
  <c r="G38" i="48" s="1"/>
  <c r="F37" i="48"/>
  <c r="G37" i="48" s="1"/>
  <c r="F36" i="48"/>
  <c r="G36" i="48" s="1"/>
  <c r="F35" i="48"/>
  <c r="G35" i="48" s="1"/>
  <c r="F34" i="48"/>
  <c r="G34" i="48" s="1"/>
  <c r="F33" i="48"/>
  <c r="G33" i="48" s="1"/>
  <c r="F32" i="48"/>
  <c r="G32" i="48" s="1"/>
  <c r="F31" i="48"/>
  <c r="G31" i="48" s="1"/>
  <c r="F30" i="48"/>
  <c r="G30" i="48" s="1"/>
  <c r="F29" i="48"/>
  <c r="F48" i="48" s="1"/>
  <c r="L23" i="48"/>
  <c r="F23" i="48"/>
  <c r="G23" i="48" s="1"/>
  <c r="F22" i="48"/>
  <c r="G22" i="48" s="1"/>
  <c r="F21" i="48"/>
  <c r="G21" i="48" s="1"/>
  <c r="F20" i="48"/>
  <c r="G20" i="48" s="1"/>
  <c r="F19" i="48"/>
  <c r="G19" i="48" s="1"/>
  <c r="F18" i="48"/>
  <c r="G18" i="48" s="1"/>
  <c r="F17" i="48"/>
  <c r="G17" i="48" s="1"/>
  <c r="F16" i="48"/>
  <c r="G16" i="48" s="1"/>
  <c r="F15" i="48"/>
  <c r="G15" i="48" s="1"/>
  <c r="F14" i="48"/>
  <c r="G14" i="48" s="1"/>
  <c r="F13" i="48"/>
  <c r="G13" i="48" s="1"/>
  <c r="F12" i="48"/>
  <c r="G12" i="48" s="1"/>
  <c r="F11" i="48"/>
  <c r="G11" i="48" s="1"/>
  <c r="F10" i="48"/>
  <c r="G10" i="48" s="1"/>
  <c r="F9" i="48"/>
  <c r="G9" i="48" s="1"/>
  <c r="F8" i="48"/>
  <c r="G8" i="48" s="1"/>
  <c r="F7" i="48"/>
  <c r="G7" i="48" s="1"/>
  <c r="F6" i="48"/>
  <c r="G6" i="48" s="1"/>
  <c r="F5" i="48"/>
  <c r="F24" i="48" s="1"/>
  <c r="L47" i="47"/>
  <c r="F47" i="47"/>
  <c r="G47" i="47" s="1"/>
  <c r="F46" i="47"/>
  <c r="G46" i="47" s="1"/>
  <c r="F45" i="47"/>
  <c r="G45" i="47" s="1"/>
  <c r="F44" i="47"/>
  <c r="G44" i="47" s="1"/>
  <c r="F43" i="47"/>
  <c r="G43" i="47" s="1"/>
  <c r="F42" i="47"/>
  <c r="G42" i="47" s="1"/>
  <c r="F41" i="47"/>
  <c r="G41" i="47" s="1"/>
  <c r="F40" i="47"/>
  <c r="G40" i="47" s="1"/>
  <c r="F39" i="47"/>
  <c r="G39" i="47" s="1"/>
  <c r="F38" i="47"/>
  <c r="G38" i="47" s="1"/>
  <c r="F37" i="47"/>
  <c r="G37" i="47" s="1"/>
  <c r="F36" i="47"/>
  <c r="G36" i="47" s="1"/>
  <c r="F35" i="47"/>
  <c r="G35" i="47" s="1"/>
  <c r="F34" i="47"/>
  <c r="G34" i="47" s="1"/>
  <c r="F33" i="47"/>
  <c r="G33" i="47" s="1"/>
  <c r="F32" i="47"/>
  <c r="G32" i="47" s="1"/>
  <c r="F31" i="47"/>
  <c r="G31" i="47" s="1"/>
  <c r="F30" i="47"/>
  <c r="G30" i="47" s="1"/>
  <c r="F29" i="47"/>
  <c r="F48" i="47" s="1"/>
  <c r="L23" i="47"/>
  <c r="F23" i="47"/>
  <c r="G23" i="47" s="1"/>
  <c r="F22" i="47"/>
  <c r="G22" i="47" s="1"/>
  <c r="F21" i="47"/>
  <c r="G21" i="47" s="1"/>
  <c r="F20" i="47"/>
  <c r="G20" i="47" s="1"/>
  <c r="F19" i="47"/>
  <c r="G19" i="47" s="1"/>
  <c r="F18" i="47"/>
  <c r="G18" i="47" s="1"/>
  <c r="F17" i="47"/>
  <c r="G17" i="47" s="1"/>
  <c r="F16" i="47"/>
  <c r="G16" i="47" s="1"/>
  <c r="F15" i="47"/>
  <c r="G15" i="47" s="1"/>
  <c r="F14" i="47"/>
  <c r="G14" i="47" s="1"/>
  <c r="F13" i="47"/>
  <c r="G13" i="47" s="1"/>
  <c r="F12" i="47"/>
  <c r="G12" i="47" s="1"/>
  <c r="F11" i="47"/>
  <c r="G11" i="47" s="1"/>
  <c r="F10" i="47"/>
  <c r="G10" i="47" s="1"/>
  <c r="F9" i="47"/>
  <c r="G9" i="47" s="1"/>
  <c r="F8" i="47"/>
  <c r="G8" i="47" s="1"/>
  <c r="F7" i="47"/>
  <c r="G7" i="47" s="1"/>
  <c r="F6" i="47"/>
  <c r="G6" i="47" s="1"/>
  <c r="F5" i="47"/>
  <c r="F24" i="47" s="1"/>
  <c r="L47" i="46"/>
  <c r="G47" i="46"/>
  <c r="F47" i="46"/>
  <c r="F46" i="46"/>
  <c r="G46" i="46" s="1"/>
  <c r="G45" i="46"/>
  <c r="F45" i="46"/>
  <c r="F44" i="46"/>
  <c r="G44" i="46" s="1"/>
  <c r="G43" i="46"/>
  <c r="F43" i="46"/>
  <c r="F42" i="46"/>
  <c r="G42" i="46" s="1"/>
  <c r="G41" i="46"/>
  <c r="F41" i="46"/>
  <c r="F40" i="46"/>
  <c r="G40" i="46" s="1"/>
  <c r="G39" i="46"/>
  <c r="F39" i="46"/>
  <c r="F38" i="46"/>
  <c r="G38" i="46" s="1"/>
  <c r="G37" i="46"/>
  <c r="F37" i="46"/>
  <c r="F36" i="46"/>
  <c r="G36" i="46" s="1"/>
  <c r="G35" i="46"/>
  <c r="F35" i="46"/>
  <c r="F34" i="46"/>
  <c r="G34" i="46" s="1"/>
  <c r="G33" i="46"/>
  <c r="F33" i="46"/>
  <c r="F32" i="46"/>
  <c r="G32" i="46" s="1"/>
  <c r="G31" i="46"/>
  <c r="F31" i="46"/>
  <c r="F30" i="46"/>
  <c r="G30" i="46" s="1"/>
  <c r="G29" i="46"/>
  <c r="F29" i="46"/>
  <c r="L23" i="46"/>
  <c r="G23" i="46"/>
  <c r="F23" i="46"/>
  <c r="F22" i="46"/>
  <c r="G22" i="46" s="1"/>
  <c r="G21" i="46"/>
  <c r="F21" i="46"/>
  <c r="F20" i="46"/>
  <c r="G20" i="46" s="1"/>
  <c r="G19" i="46"/>
  <c r="F19" i="46"/>
  <c r="F18" i="46"/>
  <c r="G18" i="46" s="1"/>
  <c r="G17" i="46"/>
  <c r="F17" i="46"/>
  <c r="F16" i="46"/>
  <c r="G16" i="46" s="1"/>
  <c r="G15" i="46"/>
  <c r="F15" i="46"/>
  <c r="F14" i="46"/>
  <c r="G14" i="46" s="1"/>
  <c r="G13" i="46"/>
  <c r="F13" i="46"/>
  <c r="F12" i="46"/>
  <c r="G12" i="46" s="1"/>
  <c r="G11" i="46"/>
  <c r="F11" i="46"/>
  <c r="F10" i="46"/>
  <c r="G10" i="46" s="1"/>
  <c r="G9" i="46"/>
  <c r="F9" i="46"/>
  <c r="F8" i="46"/>
  <c r="G8" i="46" s="1"/>
  <c r="G7" i="46"/>
  <c r="F7" i="46"/>
  <c r="F6" i="46"/>
  <c r="F24" i="46" s="1"/>
  <c r="G5" i="46"/>
  <c r="F5" i="46"/>
  <c r="F47" i="45"/>
  <c r="G47" i="45" s="1"/>
  <c r="G46" i="45"/>
  <c r="F46" i="45"/>
  <c r="G45" i="45"/>
  <c r="F45" i="45"/>
  <c r="G44" i="45"/>
  <c r="F44" i="45"/>
  <c r="G43" i="45"/>
  <c r="F43" i="45"/>
  <c r="G42" i="45"/>
  <c r="F42" i="45"/>
  <c r="G41" i="45"/>
  <c r="F41" i="45"/>
  <c r="G40" i="45"/>
  <c r="F40" i="45"/>
  <c r="G39" i="45"/>
  <c r="F39" i="45"/>
  <c r="G38" i="45"/>
  <c r="F38" i="45"/>
  <c r="G37" i="45"/>
  <c r="F37" i="45"/>
  <c r="G36" i="45"/>
  <c r="F36" i="45"/>
  <c r="G35" i="45"/>
  <c r="F35" i="45"/>
  <c r="G34" i="45"/>
  <c r="F34" i="45"/>
  <c r="G33" i="45"/>
  <c r="F33" i="45"/>
  <c r="G32" i="45"/>
  <c r="F32" i="45"/>
  <c r="G31" i="45"/>
  <c r="F31" i="45"/>
  <c r="G30" i="45"/>
  <c r="F30" i="45"/>
  <c r="G29" i="45"/>
  <c r="F29" i="45"/>
  <c r="F48" i="45" s="1"/>
  <c r="F24" i="45"/>
  <c r="G23" i="45"/>
  <c r="F23" i="45"/>
  <c r="F22" i="45"/>
  <c r="G22" i="45" s="1"/>
  <c r="G21" i="45"/>
  <c r="F21" i="45"/>
  <c r="F20" i="45"/>
  <c r="G20" i="45" s="1"/>
  <c r="G19" i="45"/>
  <c r="F19" i="45"/>
  <c r="F18" i="45"/>
  <c r="G18" i="45" s="1"/>
  <c r="G17" i="45"/>
  <c r="F17" i="45"/>
  <c r="F16" i="45"/>
  <c r="G16" i="45" s="1"/>
  <c r="G15" i="45"/>
  <c r="F15" i="45"/>
  <c r="F14" i="45"/>
  <c r="G14" i="45" s="1"/>
  <c r="G13" i="45"/>
  <c r="F13" i="45"/>
  <c r="F12" i="45"/>
  <c r="G12" i="45" s="1"/>
  <c r="G11" i="45"/>
  <c r="F11" i="45"/>
  <c r="F10" i="45"/>
  <c r="G10" i="45" s="1"/>
  <c r="G9" i="45"/>
  <c r="F9" i="45"/>
  <c r="F8" i="45"/>
  <c r="G8" i="45" s="1"/>
  <c r="G7" i="45"/>
  <c r="F7" i="45"/>
  <c r="F6" i="45"/>
  <c r="G6" i="45" s="1"/>
  <c r="G5" i="45"/>
  <c r="F5" i="45"/>
  <c r="G5" i="75" l="1"/>
  <c r="G29" i="75"/>
  <c r="G5" i="74"/>
  <c r="G29" i="74"/>
  <c r="G5" i="73"/>
  <c r="G29" i="73"/>
  <c r="G5" i="72"/>
  <c r="G29" i="72"/>
  <c r="G5" i="71"/>
  <c r="G29" i="71"/>
  <c r="G5" i="70"/>
  <c r="G29" i="70"/>
  <c r="G5" i="69"/>
  <c r="G29" i="69"/>
  <c r="G5" i="68"/>
  <c r="G29" i="68"/>
  <c r="G5" i="67"/>
  <c r="G29" i="67"/>
  <c r="G5" i="66"/>
  <c r="G29" i="66"/>
  <c r="G5" i="65"/>
  <c r="G29" i="65"/>
  <c r="G5" i="64"/>
  <c r="G29" i="64"/>
  <c r="G5" i="63"/>
  <c r="G29" i="63"/>
  <c r="G5" i="62"/>
  <c r="G29" i="62"/>
  <c r="G5" i="61"/>
  <c r="G29" i="61"/>
  <c r="G5" i="60"/>
  <c r="G29" i="60"/>
  <c r="G5" i="59"/>
  <c r="G29" i="59"/>
  <c r="G5" i="57"/>
  <c r="G29" i="57"/>
  <c r="G5" i="58"/>
  <c r="G29" i="58"/>
  <c r="G5" i="56"/>
  <c r="G29" i="56"/>
  <c r="G5" i="55"/>
  <c r="G29" i="55"/>
  <c r="G5" i="54"/>
  <c r="G29" i="54"/>
  <c r="G5" i="53"/>
  <c r="G29" i="53"/>
  <c r="G5" i="52"/>
  <c r="G29" i="52"/>
  <c r="G5" i="51"/>
  <c r="G29" i="51"/>
  <c r="G5" i="50"/>
  <c r="G29" i="50"/>
  <c r="G5" i="49"/>
  <c r="G29" i="49"/>
  <c r="G5" i="48"/>
  <c r="G29" i="48"/>
  <c r="G5" i="47"/>
  <c r="G29" i="47"/>
  <c r="F48" i="46"/>
  <c r="G6" i="46"/>
  <c r="I18" i="79"/>
  <c r="I17" i="79"/>
  <c r="I19" i="79" l="1"/>
  <c r="J18" i="79" l="1"/>
  <c r="H18" i="79"/>
  <c r="G18" i="79"/>
  <c r="F18" i="79"/>
  <c r="E18" i="79"/>
  <c r="D18" i="79"/>
  <c r="J17" i="79"/>
  <c r="H17" i="79"/>
  <c r="G17" i="79"/>
  <c r="F17" i="79"/>
  <c r="E17" i="79"/>
  <c r="D17" i="79"/>
  <c r="J19" i="79" l="1"/>
  <c r="H19" i="79"/>
  <c r="G19" i="79"/>
  <c r="F19" i="79"/>
  <c r="E19" i="79"/>
  <c r="D19" i="79"/>
  <c r="T9" i="55"/>
  <c r="U5" i="55"/>
  <c r="O3" i="45" l="1"/>
  <c r="U47" i="75"/>
  <c r="T47" i="75"/>
  <c r="S47" i="75"/>
  <c r="R47" i="75"/>
  <c r="Q47" i="75"/>
  <c r="P47" i="75"/>
  <c r="U46" i="75"/>
  <c r="T46" i="75"/>
  <c r="T48" i="75" s="1"/>
  <c r="S46" i="75"/>
  <c r="R46" i="75"/>
  <c r="R48" i="75" s="1"/>
  <c r="Q46" i="75"/>
  <c r="P46" i="75"/>
  <c r="P48" i="75" s="1"/>
  <c r="U19" i="75"/>
  <c r="R19" i="75"/>
  <c r="Q19" i="75"/>
  <c r="N19" i="75"/>
  <c r="U18" i="75"/>
  <c r="R18" i="75"/>
  <c r="Q18" i="75"/>
  <c r="N18" i="75"/>
  <c r="U17" i="75"/>
  <c r="R17" i="75"/>
  <c r="Q17" i="75"/>
  <c r="N17" i="75"/>
  <c r="U16" i="75"/>
  <c r="R16" i="75"/>
  <c r="Q16" i="75"/>
  <c r="N16" i="75"/>
  <c r="U15" i="75"/>
  <c r="R15" i="75"/>
  <c r="Q15" i="75"/>
  <c r="N15" i="75"/>
  <c r="N13" i="75"/>
  <c r="U12" i="75"/>
  <c r="T12" i="75"/>
  <c r="Q12" i="75"/>
  <c r="P12" i="75"/>
  <c r="U11" i="75"/>
  <c r="T11" i="75"/>
  <c r="Q11" i="75"/>
  <c r="P11" i="75"/>
  <c r="U10" i="75"/>
  <c r="T10" i="75"/>
  <c r="Q10" i="75"/>
  <c r="P10" i="75"/>
  <c r="U9" i="75"/>
  <c r="T9" i="75"/>
  <c r="Q9" i="75"/>
  <c r="P9" i="75"/>
  <c r="U8" i="75"/>
  <c r="T8" i="75"/>
  <c r="Q8" i="75"/>
  <c r="P8" i="75"/>
  <c r="U7" i="75"/>
  <c r="T7" i="75"/>
  <c r="Q7" i="75"/>
  <c r="P7" i="75"/>
  <c r="U6" i="75"/>
  <c r="T6" i="75"/>
  <c r="Q6" i="75"/>
  <c r="P6" i="75"/>
  <c r="U5" i="75"/>
  <c r="T5" i="75"/>
  <c r="Q5" i="75"/>
  <c r="P5" i="75"/>
  <c r="N3" i="75"/>
  <c r="U47" i="74"/>
  <c r="T47" i="74"/>
  <c r="S47" i="74"/>
  <c r="R47" i="74"/>
  <c r="Q47" i="74"/>
  <c r="P47" i="74"/>
  <c r="U46" i="74"/>
  <c r="T46" i="74"/>
  <c r="S46" i="74"/>
  <c r="R46" i="74"/>
  <c r="R48" i="74" s="1"/>
  <c r="Q46" i="74"/>
  <c r="P46" i="74"/>
  <c r="P48" i="74" s="1"/>
  <c r="U19" i="74"/>
  <c r="R19" i="74"/>
  <c r="Q19" i="74"/>
  <c r="N19" i="74"/>
  <c r="U18" i="74"/>
  <c r="R18" i="74"/>
  <c r="Q18" i="74"/>
  <c r="N18" i="74"/>
  <c r="U17" i="74"/>
  <c r="R17" i="74"/>
  <c r="Q17" i="74"/>
  <c r="N17" i="74"/>
  <c r="U16" i="74"/>
  <c r="R16" i="74"/>
  <c r="Q16" i="74"/>
  <c r="N16" i="74"/>
  <c r="U15" i="74"/>
  <c r="R15" i="74"/>
  <c r="Q15" i="74"/>
  <c r="Q23" i="74" s="1"/>
  <c r="N15" i="74"/>
  <c r="N13" i="74"/>
  <c r="U12" i="74"/>
  <c r="T12" i="74"/>
  <c r="Q12" i="74"/>
  <c r="P12" i="74"/>
  <c r="U11" i="74"/>
  <c r="T11" i="74"/>
  <c r="Q11" i="74"/>
  <c r="P11" i="74"/>
  <c r="U10" i="74"/>
  <c r="T10" i="74"/>
  <c r="Q10" i="74"/>
  <c r="P10" i="74"/>
  <c r="U9" i="74"/>
  <c r="T9" i="74"/>
  <c r="Q9" i="74"/>
  <c r="P9" i="74"/>
  <c r="U8" i="74"/>
  <c r="T8" i="74"/>
  <c r="Q8" i="74"/>
  <c r="P8" i="74"/>
  <c r="U7" i="74"/>
  <c r="T7" i="74"/>
  <c r="Q7" i="74"/>
  <c r="P7" i="74"/>
  <c r="U6" i="74"/>
  <c r="T6" i="74"/>
  <c r="Q6" i="74"/>
  <c r="P6" i="74"/>
  <c r="U5" i="74"/>
  <c r="T5" i="74"/>
  <c r="Q5" i="74"/>
  <c r="P5" i="74"/>
  <c r="N3" i="74"/>
  <c r="U47" i="73"/>
  <c r="T47" i="73"/>
  <c r="S47" i="73"/>
  <c r="R47" i="73"/>
  <c r="Q47" i="73"/>
  <c r="P47" i="73"/>
  <c r="U46" i="73"/>
  <c r="T46" i="73"/>
  <c r="S46" i="73"/>
  <c r="R46" i="73"/>
  <c r="R48" i="73" s="1"/>
  <c r="Q46" i="73"/>
  <c r="P46" i="73"/>
  <c r="P48" i="73" s="1"/>
  <c r="U19" i="73"/>
  <c r="R19" i="73"/>
  <c r="Q19" i="73"/>
  <c r="N19" i="73"/>
  <c r="U18" i="73"/>
  <c r="R18" i="73"/>
  <c r="Q18" i="73"/>
  <c r="N18" i="73"/>
  <c r="U17" i="73"/>
  <c r="R17" i="73"/>
  <c r="Q17" i="73"/>
  <c r="N17" i="73"/>
  <c r="U16" i="73"/>
  <c r="R16" i="73"/>
  <c r="Q16" i="73"/>
  <c r="N16" i="73"/>
  <c r="U15" i="73"/>
  <c r="R15" i="73"/>
  <c r="Q15" i="73"/>
  <c r="Q23" i="73" s="1"/>
  <c r="N15" i="73"/>
  <c r="N13" i="73"/>
  <c r="U12" i="73"/>
  <c r="T12" i="73"/>
  <c r="Q12" i="73"/>
  <c r="P12" i="73"/>
  <c r="U11" i="73"/>
  <c r="T11" i="73"/>
  <c r="Q11" i="73"/>
  <c r="P11" i="73"/>
  <c r="U10" i="73"/>
  <c r="T10" i="73"/>
  <c r="Q10" i="73"/>
  <c r="P10" i="73"/>
  <c r="U9" i="73"/>
  <c r="T9" i="73"/>
  <c r="Q9" i="73"/>
  <c r="P9" i="73"/>
  <c r="U8" i="73"/>
  <c r="T8" i="73"/>
  <c r="Q8" i="73"/>
  <c r="P8" i="73"/>
  <c r="U7" i="73"/>
  <c r="T7" i="73"/>
  <c r="Q7" i="73"/>
  <c r="P7" i="73"/>
  <c r="U6" i="73"/>
  <c r="T6" i="73"/>
  <c r="Q6" i="73"/>
  <c r="P6" i="73"/>
  <c r="U5" i="73"/>
  <c r="Q5" i="73"/>
  <c r="P5" i="73"/>
  <c r="P13" i="73"/>
  <c r="N3" i="73"/>
  <c r="U47" i="72"/>
  <c r="T47" i="72"/>
  <c r="S47" i="72"/>
  <c r="R47" i="72"/>
  <c r="Q47" i="72"/>
  <c r="P47" i="72"/>
  <c r="U46" i="72"/>
  <c r="T46" i="72"/>
  <c r="T48" i="72" s="1"/>
  <c r="S46" i="72"/>
  <c r="R46" i="72"/>
  <c r="R48" i="72" s="1"/>
  <c r="Q46" i="72"/>
  <c r="P46" i="72"/>
  <c r="P48" i="72" s="1"/>
  <c r="U19" i="72"/>
  <c r="R19" i="72"/>
  <c r="Q19" i="72"/>
  <c r="N19" i="72"/>
  <c r="U18" i="72"/>
  <c r="R18" i="72"/>
  <c r="Q18" i="72"/>
  <c r="N18" i="72"/>
  <c r="U17" i="72"/>
  <c r="R17" i="72"/>
  <c r="Q17" i="72"/>
  <c r="N17" i="72"/>
  <c r="U16" i="72"/>
  <c r="R16" i="72"/>
  <c r="Q16" i="72"/>
  <c r="N16" i="72"/>
  <c r="U15" i="72"/>
  <c r="U23" i="72" s="1"/>
  <c r="R15" i="72"/>
  <c r="Q15" i="72"/>
  <c r="N15" i="72"/>
  <c r="N13" i="72"/>
  <c r="U12" i="72"/>
  <c r="T12" i="72"/>
  <c r="Q12" i="72"/>
  <c r="P12" i="72"/>
  <c r="U11" i="72"/>
  <c r="T11" i="72"/>
  <c r="Q11" i="72"/>
  <c r="P11" i="72"/>
  <c r="U10" i="72"/>
  <c r="T10" i="72"/>
  <c r="Q10" i="72"/>
  <c r="P10" i="72"/>
  <c r="U9" i="72"/>
  <c r="T9" i="72"/>
  <c r="Q9" i="72"/>
  <c r="P9" i="72"/>
  <c r="U8" i="72"/>
  <c r="T8" i="72"/>
  <c r="Q8" i="72"/>
  <c r="P8" i="72"/>
  <c r="U7" i="72"/>
  <c r="T7" i="72"/>
  <c r="Q7" i="72"/>
  <c r="P7" i="72"/>
  <c r="U6" i="72"/>
  <c r="T6" i="72"/>
  <c r="Q6" i="72"/>
  <c r="P6" i="72"/>
  <c r="U5" i="72"/>
  <c r="Q5" i="72"/>
  <c r="P5" i="72"/>
  <c r="N3" i="72"/>
  <c r="U47" i="71"/>
  <c r="T47" i="71"/>
  <c r="S47" i="71"/>
  <c r="R47" i="71"/>
  <c r="Q47" i="71"/>
  <c r="P47" i="71"/>
  <c r="U46" i="71"/>
  <c r="U48" i="71" s="1"/>
  <c r="T46" i="71"/>
  <c r="S46" i="71"/>
  <c r="S48" i="71" s="1"/>
  <c r="R46" i="71"/>
  <c r="Q46" i="71"/>
  <c r="Q48" i="71" s="1"/>
  <c r="P46" i="71"/>
  <c r="U19" i="71"/>
  <c r="R19" i="71"/>
  <c r="Q19" i="71"/>
  <c r="N19" i="71"/>
  <c r="U18" i="71"/>
  <c r="R18" i="71"/>
  <c r="Q18" i="71"/>
  <c r="N18" i="71"/>
  <c r="U17" i="71"/>
  <c r="R17" i="71"/>
  <c r="Q17" i="71"/>
  <c r="N17" i="71"/>
  <c r="U16" i="71"/>
  <c r="R16" i="71"/>
  <c r="Q16" i="71"/>
  <c r="N16" i="71"/>
  <c r="U15" i="71"/>
  <c r="U23" i="71" s="1"/>
  <c r="R15" i="71"/>
  <c r="Q15" i="71"/>
  <c r="N15" i="71"/>
  <c r="N13" i="71"/>
  <c r="U12" i="71"/>
  <c r="T12" i="71"/>
  <c r="Q12" i="71"/>
  <c r="P12" i="71"/>
  <c r="U11" i="71"/>
  <c r="T11" i="71"/>
  <c r="Q11" i="71"/>
  <c r="P11" i="71"/>
  <c r="U10" i="71"/>
  <c r="T10" i="71"/>
  <c r="Q10" i="71"/>
  <c r="P10" i="71"/>
  <c r="U9" i="71"/>
  <c r="T9" i="71"/>
  <c r="Q9" i="71"/>
  <c r="P9" i="71"/>
  <c r="U8" i="71"/>
  <c r="T8" i="71"/>
  <c r="Q8" i="71"/>
  <c r="P8" i="71"/>
  <c r="U7" i="71"/>
  <c r="T7" i="71"/>
  <c r="Q7" i="71"/>
  <c r="P7" i="71"/>
  <c r="U6" i="71"/>
  <c r="T6" i="71"/>
  <c r="Q6" i="71"/>
  <c r="P6" i="71"/>
  <c r="U5" i="71"/>
  <c r="T5" i="71"/>
  <c r="Q5" i="71"/>
  <c r="P5" i="71"/>
  <c r="N3" i="71"/>
  <c r="U47" i="70"/>
  <c r="T47" i="70"/>
  <c r="S47" i="70"/>
  <c r="R47" i="70"/>
  <c r="Q47" i="70"/>
  <c r="P47" i="70"/>
  <c r="U46" i="70"/>
  <c r="U48" i="70" s="1"/>
  <c r="T46" i="70"/>
  <c r="S46" i="70"/>
  <c r="R46" i="70"/>
  <c r="Q46" i="70"/>
  <c r="Q48" i="70" s="1"/>
  <c r="P46" i="70"/>
  <c r="U19" i="70"/>
  <c r="R19" i="70"/>
  <c r="Q19" i="70"/>
  <c r="N19" i="70"/>
  <c r="U18" i="70"/>
  <c r="R18" i="70"/>
  <c r="Q18" i="70"/>
  <c r="N18" i="70"/>
  <c r="U17" i="70"/>
  <c r="R17" i="70"/>
  <c r="Q17" i="70"/>
  <c r="N17" i="70"/>
  <c r="U16" i="70"/>
  <c r="R16" i="70"/>
  <c r="Q16" i="70"/>
  <c r="N16" i="70"/>
  <c r="U15" i="70"/>
  <c r="R15" i="70"/>
  <c r="Q15" i="70"/>
  <c r="N15" i="70"/>
  <c r="N13" i="70"/>
  <c r="U12" i="70"/>
  <c r="T12" i="70"/>
  <c r="Q12" i="70"/>
  <c r="P12" i="70"/>
  <c r="U11" i="70"/>
  <c r="T11" i="70"/>
  <c r="Q11" i="70"/>
  <c r="P11" i="70"/>
  <c r="U10" i="70"/>
  <c r="T10" i="70"/>
  <c r="Q10" i="70"/>
  <c r="P10" i="70"/>
  <c r="U9" i="70"/>
  <c r="T9" i="70"/>
  <c r="Q9" i="70"/>
  <c r="P9" i="70"/>
  <c r="U8" i="70"/>
  <c r="T8" i="70"/>
  <c r="Q8" i="70"/>
  <c r="P8" i="70"/>
  <c r="U7" i="70"/>
  <c r="T7" i="70"/>
  <c r="Q7" i="70"/>
  <c r="P7" i="70"/>
  <c r="U6" i="70"/>
  <c r="T6" i="70"/>
  <c r="Q6" i="70"/>
  <c r="P6" i="70"/>
  <c r="U5" i="70"/>
  <c r="T5" i="70"/>
  <c r="Q5" i="70"/>
  <c r="P5" i="70"/>
  <c r="N3" i="70"/>
  <c r="U47" i="69"/>
  <c r="T47" i="69"/>
  <c r="S47" i="69"/>
  <c r="R47" i="69"/>
  <c r="Q47" i="69"/>
  <c r="P47" i="69"/>
  <c r="U46" i="69"/>
  <c r="U48" i="69" s="1"/>
  <c r="T46" i="69"/>
  <c r="S46" i="69"/>
  <c r="S48" i="69" s="1"/>
  <c r="R46" i="69"/>
  <c r="Q46" i="69"/>
  <c r="Q48" i="69" s="1"/>
  <c r="P46" i="69"/>
  <c r="T6" i="69"/>
  <c r="U19" i="69"/>
  <c r="R19" i="69"/>
  <c r="Q19" i="69"/>
  <c r="N19" i="69"/>
  <c r="U18" i="69"/>
  <c r="R18" i="69"/>
  <c r="Q18" i="69"/>
  <c r="N18" i="69"/>
  <c r="U17" i="69"/>
  <c r="R17" i="69"/>
  <c r="Q17" i="69"/>
  <c r="N17" i="69"/>
  <c r="U16" i="69"/>
  <c r="R16" i="69"/>
  <c r="Q16" i="69"/>
  <c r="N16" i="69"/>
  <c r="U15" i="69"/>
  <c r="R15" i="69"/>
  <c r="Q15" i="69"/>
  <c r="Q23" i="69" s="1"/>
  <c r="N15" i="69"/>
  <c r="N13" i="69"/>
  <c r="U12" i="69"/>
  <c r="T12" i="69"/>
  <c r="Q12" i="69"/>
  <c r="P12" i="69"/>
  <c r="U11" i="69"/>
  <c r="T11" i="69"/>
  <c r="Q11" i="69"/>
  <c r="P11" i="69"/>
  <c r="U10" i="69"/>
  <c r="T10" i="69"/>
  <c r="Q10" i="69"/>
  <c r="P10" i="69"/>
  <c r="U9" i="69"/>
  <c r="T9" i="69"/>
  <c r="Q9" i="69"/>
  <c r="P9" i="69"/>
  <c r="U8" i="69"/>
  <c r="T8" i="69"/>
  <c r="Q8" i="69"/>
  <c r="P8" i="69"/>
  <c r="U7" i="69"/>
  <c r="T7" i="69"/>
  <c r="Q7" i="69"/>
  <c r="P7" i="69"/>
  <c r="U6" i="69"/>
  <c r="Q6" i="69"/>
  <c r="P6" i="69"/>
  <c r="U5" i="69"/>
  <c r="Q5" i="69"/>
  <c r="P13" i="69"/>
  <c r="N3" i="69"/>
  <c r="U47" i="68"/>
  <c r="T47" i="68"/>
  <c r="S47" i="68"/>
  <c r="R47" i="68"/>
  <c r="Q47" i="68"/>
  <c r="P47" i="68"/>
  <c r="U46" i="68"/>
  <c r="T46" i="68"/>
  <c r="T48" i="68" s="1"/>
  <c r="S46" i="68"/>
  <c r="R46" i="68"/>
  <c r="Q46" i="68"/>
  <c r="P46" i="68"/>
  <c r="P48" i="68" s="1"/>
  <c r="U19" i="68"/>
  <c r="R19" i="68"/>
  <c r="Q19" i="68"/>
  <c r="N19" i="68"/>
  <c r="U18" i="68"/>
  <c r="R18" i="68"/>
  <c r="Q18" i="68"/>
  <c r="N18" i="68"/>
  <c r="U17" i="68"/>
  <c r="R17" i="68"/>
  <c r="Q17" i="68"/>
  <c r="N17" i="68"/>
  <c r="U16" i="68"/>
  <c r="R16" i="68"/>
  <c r="Q16" i="68"/>
  <c r="N16" i="68"/>
  <c r="U15" i="68"/>
  <c r="U23" i="68" s="1"/>
  <c r="R15" i="68"/>
  <c r="Q15" i="68"/>
  <c r="N15" i="68"/>
  <c r="N13" i="68"/>
  <c r="U12" i="68"/>
  <c r="T12" i="68"/>
  <c r="Q12" i="68"/>
  <c r="P12" i="68"/>
  <c r="U11" i="68"/>
  <c r="T11" i="68"/>
  <c r="Q11" i="68"/>
  <c r="P11" i="68"/>
  <c r="U10" i="68"/>
  <c r="T10" i="68"/>
  <c r="Q10" i="68"/>
  <c r="P10" i="68"/>
  <c r="U9" i="68"/>
  <c r="T9" i="68"/>
  <c r="Q9" i="68"/>
  <c r="P9" i="68"/>
  <c r="U8" i="68"/>
  <c r="T8" i="68"/>
  <c r="Q8" i="68"/>
  <c r="P8" i="68"/>
  <c r="U7" i="68"/>
  <c r="T7" i="68"/>
  <c r="Q7" i="68"/>
  <c r="P7" i="68"/>
  <c r="U6" i="68"/>
  <c r="T6" i="68"/>
  <c r="Q6" i="68"/>
  <c r="P6" i="68"/>
  <c r="U5" i="68"/>
  <c r="Q5" i="68"/>
  <c r="P5" i="68"/>
  <c r="N3" i="68"/>
  <c r="U47" i="67"/>
  <c r="T47" i="67"/>
  <c r="S47" i="67"/>
  <c r="R47" i="67"/>
  <c r="Q47" i="67"/>
  <c r="P47" i="67"/>
  <c r="U46" i="67"/>
  <c r="U48" i="67" s="1"/>
  <c r="T46" i="67"/>
  <c r="S46" i="67"/>
  <c r="S48" i="67" s="1"/>
  <c r="R46" i="67"/>
  <c r="Q46" i="67"/>
  <c r="Q48" i="67" s="1"/>
  <c r="P46" i="67"/>
  <c r="U19" i="67"/>
  <c r="R19" i="67"/>
  <c r="Q19" i="67"/>
  <c r="N19" i="67"/>
  <c r="U18" i="67"/>
  <c r="R18" i="67"/>
  <c r="Q18" i="67"/>
  <c r="N18" i="67"/>
  <c r="U17" i="67"/>
  <c r="R17" i="67"/>
  <c r="Q17" i="67"/>
  <c r="N17" i="67"/>
  <c r="U16" i="67"/>
  <c r="R16" i="67"/>
  <c r="Q16" i="67"/>
  <c r="N16" i="67"/>
  <c r="U15" i="67"/>
  <c r="R15" i="67"/>
  <c r="Q15" i="67"/>
  <c r="Q23" i="67" s="1"/>
  <c r="N15" i="67"/>
  <c r="N13" i="67"/>
  <c r="U12" i="67"/>
  <c r="T12" i="67"/>
  <c r="Q12" i="67"/>
  <c r="P12" i="67"/>
  <c r="U11" i="67"/>
  <c r="T11" i="67"/>
  <c r="Q11" i="67"/>
  <c r="P11" i="67"/>
  <c r="U10" i="67"/>
  <c r="T10" i="67"/>
  <c r="Q10" i="67"/>
  <c r="P10" i="67"/>
  <c r="U9" i="67"/>
  <c r="T9" i="67"/>
  <c r="Q9" i="67"/>
  <c r="P9" i="67"/>
  <c r="U8" i="67"/>
  <c r="T8" i="67"/>
  <c r="Q8" i="67"/>
  <c r="P8" i="67"/>
  <c r="U7" i="67"/>
  <c r="T7" i="67"/>
  <c r="Q7" i="67"/>
  <c r="P7" i="67"/>
  <c r="U6" i="67"/>
  <c r="T6" i="67"/>
  <c r="Q6" i="67"/>
  <c r="P6" i="67"/>
  <c r="U5" i="67"/>
  <c r="Q5" i="67"/>
  <c r="P5" i="67"/>
  <c r="N3" i="67"/>
  <c r="U47" i="66"/>
  <c r="T47" i="66"/>
  <c r="S47" i="66"/>
  <c r="R47" i="66"/>
  <c r="Q47" i="66"/>
  <c r="P47" i="66"/>
  <c r="U46" i="66"/>
  <c r="T46" i="66"/>
  <c r="T48" i="66" s="1"/>
  <c r="S46" i="66"/>
  <c r="R46" i="66"/>
  <c r="R48" i="66" s="1"/>
  <c r="Q46" i="66"/>
  <c r="P46" i="66"/>
  <c r="P48" i="66" s="1"/>
  <c r="T6" i="66"/>
  <c r="T13" i="66"/>
  <c r="U19" i="66"/>
  <c r="R19" i="66"/>
  <c r="Q19" i="66"/>
  <c r="N19" i="66"/>
  <c r="U18" i="66"/>
  <c r="R18" i="66"/>
  <c r="Q18" i="66"/>
  <c r="N18" i="66"/>
  <c r="U17" i="66"/>
  <c r="R17" i="66"/>
  <c r="Q17" i="66"/>
  <c r="N17" i="66"/>
  <c r="U16" i="66"/>
  <c r="R16" i="66"/>
  <c r="Q16" i="66"/>
  <c r="N16" i="66"/>
  <c r="U15" i="66"/>
  <c r="R15" i="66"/>
  <c r="Q15" i="66"/>
  <c r="Q23" i="66" s="1"/>
  <c r="N15" i="66"/>
  <c r="N13" i="66"/>
  <c r="U12" i="66"/>
  <c r="T12" i="66"/>
  <c r="Q12" i="66"/>
  <c r="P12" i="66"/>
  <c r="U11" i="66"/>
  <c r="T11" i="66"/>
  <c r="Q11" i="66"/>
  <c r="P11" i="66"/>
  <c r="U10" i="66"/>
  <c r="T10" i="66"/>
  <c r="Q10" i="66"/>
  <c r="P10" i="66"/>
  <c r="U9" i="66"/>
  <c r="T9" i="66"/>
  <c r="Q9" i="66"/>
  <c r="P9" i="66"/>
  <c r="U8" i="66"/>
  <c r="T8" i="66"/>
  <c r="Q8" i="66"/>
  <c r="P8" i="66"/>
  <c r="U7" i="66"/>
  <c r="T7" i="66"/>
  <c r="Q7" i="66"/>
  <c r="P7" i="66"/>
  <c r="U6" i="66"/>
  <c r="Q6" i="66"/>
  <c r="P6" i="66"/>
  <c r="U5" i="66"/>
  <c r="Q5" i="66"/>
  <c r="P5" i="66"/>
  <c r="N3" i="66"/>
  <c r="U47" i="65"/>
  <c r="T47" i="65"/>
  <c r="S47" i="65"/>
  <c r="R47" i="65"/>
  <c r="Q47" i="65"/>
  <c r="P47" i="65"/>
  <c r="U46" i="65"/>
  <c r="T46" i="65"/>
  <c r="S46" i="65"/>
  <c r="R46" i="65"/>
  <c r="Q46" i="65"/>
  <c r="P46" i="65"/>
  <c r="T5" i="65"/>
  <c r="U19" i="65"/>
  <c r="R19" i="65"/>
  <c r="Q19" i="65"/>
  <c r="N19" i="65"/>
  <c r="U18" i="65"/>
  <c r="R18" i="65"/>
  <c r="Q18" i="65"/>
  <c r="N18" i="65"/>
  <c r="U17" i="65"/>
  <c r="R17" i="65"/>
  <c r="Q17" i="65"/>
  <c r="N17" i="65"/>
  <c r="U16" i="65"/>
  <c r="R16" i="65"/>
  <c r="Q16" i="65"/>
  <c r="N16" i="65"/>
  <c r="U15" i="65"/>
  <c r="R15" i="65"/>
  <c r="Q15" i="65"/>
  <c r="N15" i="65"/>
  <c r="N13" i="65"/>
  <c r="U12" i="65"/>
  <c r="T12" i="65"/>
  <c r="Q12" i="65"/>
  <c r="P12" i="65"/>
  <c r="U11" i="65"/>
  <c r="T11" i="65"/>
  <c r="Q11" i="65"/>
  <c r="P11" i="65"/>
  <c r="U10" i="65"/>
  <c r="T10" i="65"/>
  <c r="Q10" i="65"/>
  <c r="P10" i="65"/>
  <c r="U9" i="65"/>
  <c r="T9" i="65"/>
  <c r="Q9" i="65"/>
  <c r="P9" i="65"/>
  <c r="U8" i="65"/>
  <c r="T8" i="65"/>
  <c r="Q8" i="65"/>
  <c r="P8" i="65"/>
  <c r="U7" i="65"/>
  <c r="T7" i="65"/>
  <c r="Q7" i="65"/>
  <c r="P7" i="65"/>
  <c r="U6" i="65"/>
  <c r="T6" i="65"/>
  <c r="Q6" i="65"/>
  <c r="P6" i="65"/>
  <c r="U5" i="65"/>
  <c r="Q5" i="65"/>
  <c r="N3" i="65"/>
  <c r="U47" i="64"/>
  <c r="T47" i="64"/>
  <c r="S47" i="64"/>
  <c r="R47" i="64"/>
  <c r="Q47" i="64"/>
  <c r="P47" i="64"/>
  <c r="U46" i="64"/>
  <c r="U48" i="64" s="1"/>
  <c r="T46" i="64"/>
  <c r="T48" i="64" s="1"/>
  <c r="S46" i="64"/>
  <c r="R46" i="64"/>
  <c r="Q46" i="64"/>
  <c r="Q48" i="64" s="1"/>
  <c r="P46" i="64"/>
  <c r="P48" i="64" s="1"/>
  <c r="T13" i="64"/>
  <c r="U19" i="64"/>
  <c r="R19" i="64"/>
  <c r="Q19" i="64"/>
  <c r="N19" i="64"/>
  <c r="U18" i="64"/>
  <c r="R18" i="64"/>
  <c r="Q18" i="64"/>
  <c r="N18" i="64"/>
  <c r="U17" i="64"/>
  <c r="R17" i="64"/>
  <c r="Q17" i="64"/>
  <c r="N17" i="64"/>
  <c r="U16" i="64"/>
  <c r="R16" i="64"/>
  <c r="Q16" i="64"/>
  <c r="N16" i="64"/>
  <c r="U15" i="64"/>
  <c r="R15" i="64"/>
  <c r="Q15" i="64"/>
  <c r="N15" i="64"/>
  <c r="N13" i="64"/>
  <c r="U12" i="64"/>
  <c r="T12" i="64"/>
  <c r="Q12" i="64"/>
  <c r="P12" i="64"/>
  <c r="U11" i="64"/>
  <c r="T11" i="64"/>
  <c r="Q11" i="64"/>
  <c r="P11" i="64"/>
  <c r="U10" i="64"/>
  <c r="T10" i="64"/>
  <c r="Q10" i="64"/>
  <c r="P10" i="64"/>
  <c r="U9" i="64"/>
  <c r="T9" i="64"/>
  <c r="Q9" i="64"/>
  <c r="P9" i="64"/>
  <c r="U8" i="64"/>
  <c r="T8" i="64"/>
  <c r="Q8" i="64"/>
  <c r="P8" i="64"/>
  <c r="U7" i="64"/>
  <c r="T7" i="64"/>
  <c r="Q7" i="64"/>
  <c r="P7" i="64"/>
  <c r="U6" i="64"/>
  <c r="T6" i="64"/>
  <c r="Q6" i="64"/>
  <c r="P6" i="64"/>
  <c r="U5" i="64"/>
  <c r="T5" i="64"/>
  <c r="Q5" i="64"/>
  <c r="P5" i="64"/>
  <c r="N3" i="64"/>
  <c r="U47" i="63"/>
  <c r="T47" i="63"/>
  <c r="S47" i="63"/>
  <c r="R47" i="63"/>
  <c r="Q47" i="63"/>
  <c r="P47" i="63"/>
  <c r="U46" i="63"/>
  <c r="T46" i="63"/>
  <c r="S46" i="63"/>
  <c r="R46" i="63"/>
  <c r="R48" i="63" s="1"/>
  <c r="Q46" i="63"/>
  <c r="P46" i="63"/>
  <c r="U19" i="63"/>
  <c r="R19" i="63"/>
  <c r="Q19" i="63"/>
  <c r="N19" i="63"/>
  <c r="U18" i="63"/>
  <c r="R18" i="63"/>
  <c r="Q18" i="63"/>
  <c r="N18" i="63"/>
  <c r="U17" i="63"/>
  <c r="R17" i="63"/>
  <c r="Q17" i="63"/>
  <c r="N17" i="63"/>
  <c r="U16" i="63"/>
  <c r="R16" i="63"/>
  <c r="Q16" i="63"/>
  <c r="N16" i="63"/>
  <c r="U15" i="63"/>
  <c r="R15" i="63"/>
  <c r="Q15" i="63"/>
  <c r="N15" i="63"/>
  <c r="N13" i="63"/>
  <c r="U12" i="63"/>
  <c r="T12" i="63"/>
  <c r="Q12" i="63"/>
  <c r="P12" i="63"/>
  <c r="U11" i="63"/>
  <c r="T11" i="63"/>
  <c r="Q11" i="63"/>
  <c r="P11" i="63"/>
  <c r="U10" i="63"/>
  <c r="T10" i="63"/>
  <c r="Q10" i="63"/>
  <c r="P10" i="63"/>
  <c r="U9" i="63"/>
  <c r="T9" i="63"/>
  <c r="Q9" i="63"/>
  <c r="P9" i="63"/>
  <c r="U8" i="63"/>
  <c r="T8" i="63"/>
  <c r="Q8" i="63"/>
  <c r="P8" i="63"/>
  <c r="U7" i="63"/>
  <c r="T7" i="63"/>
  <c r="Q7" i="63"/>
  <c r="P7" i="63"/>
  <c r="U6" i="63"/>
  <c r="T6" i="63"/>
  <c r="Q6" i="63"/>
  <c r="P6" i="63"/>
  <c r="U5" i="63"/>
  <c r="T5" i="63"/>
  <c r="Q5" i="63"/>
  <c r="P5" i="63"/>
  <c r="N3" i="63"/>
  <c r="U47" i="62"/>
  <c r="T47" i="62"/>
  <c r="S47" i="62"/>
  <c r="R47" i="62"/>
  <c r="Q47" i="62"/>
  <c r="P47" i="62"/>
  <c r="U46" i="62"/>
  <c r="T46" i="62"/>
  <c r="T48" i="62" s="1"/>
  <c r="S46" i="62"/>
  <c r="R46" i="62"/>
  <c r="R48" i="62" s="1"/>
  <c r="Q46" i="62"/>
  <c r="P46" i="62"/>
  <c r="P48" i="62" s="1"/>
  <c r="T13" i="62"/>
  <c r="U19" i="62"/>
  <c r="R19" i="62"/>
  <c r="Q19" i="62"/>
  <c r="N19" i="62"/>
  <c r="U18" i="62"/>
  <c r="R18" i="62"/>
  <c r="Q18" i="62"/>
  <c r="N18" i="62"/>
  <c r="U17" i="62"/>
  <c r="R17" i="62"/>
  <c r="Q17" i="62"/>
  <c r="N17" i="62"/>
  <c r="U16" i="62"/>
  <c r="R16" i="62"/>
  <c r="Q16" i="62"/>
  <c r="N16" i="62"/>
  <c r="U15" i="62"/>
  <c r="R15" i="62"/>
  <c r="Q15" i="62"/>
  <c r="N15" i="62"/>
  <c r="N13" i="62"/>
  <c r="U12" i="62"/>
  <c r="T12" i="62"/>
  <c r="Q12" i="62"/>
  <c r="P12" i="62"/>
  <c r="U11" i="62"/>
  <c r="T11" i="62"/>
  <c r="Q11" i="62"/>
  <c r="P11" i="62"/>
  <c r="U10" i="62"/>
  <c r="T10" i="62"/>
  <c r="Q10" i="62"/>
  <c r="P10" i="62"/>
  <c r="U9" i="62"/>
  <c r="T9" i="62"/>
  <c r="Q9" i="62"/>
  <c r="P9" i="62"/>
  <c r="U8" i="62"/>
  <c r="T8" i="62"/>
  <c r="Q8" i="62"/>
  <c r="P8" i="62"/>
  <c r="U7" i="62"/>
  <c r="T7" i="62"/>
  <c r="Q7" i="62"/>
  <c r="P7" i="62"/>
  <c r="U6" i="62"/>
  <c r="T6" i="62"/>
  <c r="Q6" i="62"/>
  <c r="P6" i="62"/>
  <c r="U5" i="62"/>
  <c r="Q5" i="62"/>
  <c r="P5" i="62"/>
  <c r="N3" i="62"/>
  <c r="U47" i="61"/>
  <c r="T47" i="61"/>
  <c r="S47" i="61"/>
  <c r="R47" i="61"/>
  <c r="Q47" i="61"/>
  <c r="P47" i="61"/>
  <c r="U46" i="61"/>
  <c r="T46" i="61"/>
  <c r="T48" i="61" s="1"/>
  <c r="S46" i="61"/>
  <c r="R46" i="61"/>
  <c r="Q46" i="61"/>
  <c r="Q48" i="61" s="1"/>
  <c r="P46" i="61"/>
  <c r="P48" i="61" s="1"/>
  <c r="U19" i="61"/>
  <c r="R19" i="61"/>
  <c r="Q19" i="61"/>
  <c r="N19" i="61"/>
  <c r="U18" i="61"/>
  <c r="R18" i="61"/>
  <c r="Q18" i="61"/>
  <c r="N18" i="61"/>
  <c r="U17" i="61"/>
  <c r="R17" i="61"/>
  <c r="Q17" i="61"/>
  <c r="N17" i="61"/>
  <c r="U16" i="61"/>
  <c r="R16" i="61"/>
  <c r="Q16" i="61"/>
  <c r="N16" i="61"/>
  <c r="U15" i="61"/>
  <c r="R15" i="61"/>
  <c r="Q15" i="61"/>
  <c r="N15" i="61"/>
  <c r="N13" i="61"/>
  <c r="U12" i="61"/>
  <c r="T12" i="61"/>
  <c r="Q12" i="61"/>
  <c r="P12" i="61"/>
  <c r="U11" i="61"/>
  <c r="T11" i="61"/>
  <c r="Q11" i="61"/>
  <c r="P11" i="61"/>
  <c r="U10" i="61"/>
  <c r="T10" i="61"/>
  <c r="Q10" i="61"/>
  <c r="P10" i="61"/>
  <c r="U9" i="61"/>
  <c r="T9" i="61"/>
  <c r="Q9" i="61"/>
  <c r="P9" i="61"/>
  <c r="U8" i="61"/>
  <c r="T8" i="61"/>
  <c r="Q8" i="61"/>
  <c r="P8" i="61"/>
  <c r="U7" i="61"/>
  <c r="T7" i="61"/>
  <c r="Q7" i="61"/>
  <c r="P7" i="61"/>
  <c r="U6" i="61"/>
  <c r="T6" i="61"/>
  <c r="Q6" i="61"/>
  <c r="P6" i="61"/>
  <c r="U5" i="61"/>
  <c r="Q5" i="61"/>
  <c r="P5" i="61"/>
  <c r="N3" i="61"/>
  <c r="U47" i="60"/>
  <c r="T47" i="60"/>
  <c r="S47" i="60"/>
  <c r="R47" i="60"/>
  <c r="Q47" i="60"/>
  <c r="P47" i="60"/>
  <c r="U46" i="60"/>
  <c r="U48" i="60" s="1"/>
  <c r="T46" i="60"/>
  <c r="S46" i="60"/>
  <c r="S48" i="60" s="1"/>
  <c r="R46" i="60"/>
  <c r="Q46" i="60"/>
  <c r="Q48" i="60" s="1"/>
  <c r="P46" i="60"/>
  <c r="T13" i="60"/>
  <c r="U19" i="60"/>
  <c r="R19" i="60"/>
  <c r="Q19" i="60"/>
  <c r="N19" i="60"/>
  <c r="U18" i="60"/>
  <c r="R18" i="60"/>
  <c r="Q18" i="60"/>
  <c r="N18" i="60"/>
  <c r="U17" i="60"/>
  <c r="R17" i="60"/>
  <c r="Q17" i="60"/>
  <c r="N17" i="60"/>
  <c r="U16" i="60"/>
  <c r="R16" i="60"/>
  <c r="Q16" i="60"/>
  <c r="N16" i="60"/>
  <c r="U15" i="60"/>
  <c r="R15" i="60"/>
  <c r="Q15" i="60"/>
  <c r="N15" i="60"/>
  <c r="N13" i="60"/>
  <c r="U12" i="60"/>
  <c r="T12" i="60"/>
  <c r="Q12" i="60"/>
  <c r="P12" i="60"/>
  <c r="U11" i="60"/>
  <c r="T11" i="60"/>
  <c r="Q11" i="60"/>
  <c r="P11" i="60"/>
  <c r="U10" i="60"/>
  <c r="T10" i="60"/>
  <c r="Q10" i="60"/>
  <c r="P10" i="60"/>
  <c r="U9" i="60"/>
  <c r="T9" i="60"/>
  <c r="Q9" i="60"/>
  <c r="P9" i="60"/>
  <c r="U8" i="60"/>
  <c r="T8" i="60"/>
  <c r="Q8" i="60"/>
  <c r="P8" i="60"/>
  <c r="U7" i="60"/>
  <c r="T7" i="60"/>
  <c r="Q7" i="60"/>
  <c r="P7" i="60"/>
  <c r="U6" i="60"/>
  <c r="T6" i="60"/>
  <c r="Q6" i="60"/>
  <c r="P6" i="60"/>
  <c r="U5" i="60"/>
  <c r="Q5" i="60"/>
  <c r="P5" i="60"/>
  <c r="N3" i="60"/>
  <c r="U47" i="59"/>
  <c r="T47" i="59"/>
  <c r="S47" i="59"/>
  <c r="R47" i="59"/>
  <c r="Q47" i="59"/>
  <c r="P47" i="59"/>
  <c r="U46" i="59"/>
  <c r="U48" i="59" s="1"/>
  <c r="T46" i="59"/>
  <c r="S46" i="59"/>
  <c r="S48" i="59" s="1"/>
  <c r="R46" i="59"/>
  <c r="Q46" i="59"/>
  <c r="Q48" i="59" s="1"/>
  <c r="P46" i="59"/>
  <c r="U19" i="59"/>
  <c r="R19" i="59"/>
  <c r="Q19" i="59"/>
  <c r="N19" i="59"/>
  <c r="U18" i="59"/>
  <c r="R18" i="59"/>
  <c r="Q18" i="59"/>
  <c r="N18" i="59"/>
  <c r="U17" i="59"/>
  <c r="R17" i="59"/>
  <c r="Q17" i="59"/>
  <c r="N17" i="59"/>
  <c r="U16" i="59"/>
  <c r="R16" i="59"/>
  <c r="Q16" i="59"/>
  <c r="N16" i="59"/>
  <c r="U15" i="59"/>
  <c r="U23" i="59" s="1"/>
  <c r="R15" i="59"/>
  <c r="Q15" i="59"/>
  <c r="N15" i="59"/>
  <c r="N13" i="59"/>
  <c r="U12" i="59"/>
  <c r="T12" i="59"/>
  <c r="Q12" i="59"/>
  <c r="P12" i="59"/>
  <c r="U11" i="59"/>
  <c r="T11" i="59"/>
  <c r="Q11" i="59"/>
  <c r="P11" i="59"/>
  <c r="U10" i="59"/>
  <c r="T10" i="59"/>
  <c r="Q10" i="59"/>
  <c r="P10" i="59"/>
  <c r="U9" i="59"/>
  <c r="T9" i="59"/>
  <c r="Q9" i="59"/>
  <c r="P9" i="59"/>
  <c r="U8" i="59"/>
  <c r="T8" i="59"/>
  <c r="Q8" i="59"/>
  <c r="P8" i="59"/>
  <c r="U7" i="59"/>
  <c r="T7" i="59"/>
  <c r="Q7" i="59"/>
  <c r="P7" i="59"/>
  <c r="U6" i="59"/>
  <c r="T6" i="59"/>
  <c r="Q6" i="59"/>
  <c r="P6" i="59"/>
  <c r="U5" i="59"/>
  <c r="Q5" i="59"/>
  <c r="P5" i="59"/>
  <c r="N3" i="59"/>
  <c r="U47" i="58"/>
  <c r="T47" i="58"/>
  <c r="S47" i="58"/>
  <c r="R47" i="58"/>
  <c r="Q47" i="58"/>
  <c r="P47" i="58"/>
  <c r="U46" i="58"/>
  <c r="T46" i="58"/>
  <c r="T48" i="58" s="1"/>
  <c r="S46" i="58"/>
  <c r="S48" i="58" s="1"/>
  <c r="R46" i="58"/>
  <c r="R48" i="58" s="1"/>
  <c r="Q46" i="58"/>
  <c r="P46" i="58"/>
  <c r="P48" i="58" s="1"/>
  <c r="U19" i="58"/>
  <c r="R19" i="58"/>
  <c r="Q19" i="58"/>
  <c r="N19" i="58"/>
  <c r="U18" i="58"/>
  <c r="R18" i="58"/>
  <c r="Q18" i="58"/>
  <c r="N18" i="58"/>
  <c r="U17" i="58"/>
  <c r="R17" i="58"/>
  <c r="Q17" i="58"/>
  <c r="N17" i="58"/>
  <c r="U16" i="58"/>
  <c r="R16" i="58"/>
  <c r="Q16" i="58"/>
  <c r="N16" i="58"/>
  <c r="U15" i="58"/>
  <c r="U23" i="58" s="1"/>
  <c r="R15" i="58"/>
  <c r="Q15" i="58"/>
  <c r="N15" i="58"/>
  <c r="N13" i="58"/>
  <c r="U12" i="58"/>
  <c r="T12" i="58"/>
  <c r="Q12" i="58"/>
  <c r="P12" i="58"/>
  <c r="U11" i="58"/>
  <c r="T11" i="58"/>
  <c r="Q11" i="58"/>
  <c r="P11" i="58"/>
  <c r="U10" i="58"/>
  <c r="T10" i="58"/>
  <c r="Q10" i="58"/>
  <c r="P10" i="58"/>
  <c r="U9" i="58"/>
  <c r="T9" i="58"/>
  <c r="Q9" i="58"/>
  <c r="P9" i="58"/>
  <c r="U8" i="58"/>
  <c r="T8" i="58"/>
  <c r="Q8" i="58"/>
  <c r="P8" i="58"/>
  <c r="U7" i="58"/>
  <c r="T7" i="58"/>
  <c r="Q7" i="58"/>
  <c r="P7" i="58"/>
  <c r="U6" i="58"/>
  <c r="T6" i="58"/>
  <c r="Q6" i="58"/>
  <c r="P6" i="58"/>
  <c r="U5" i="58"/>
  <c r="T5" i="58"/>
  <c r="Q5" i="58"/>
  <c r="P5" i="58"/>
  <c r="N3" i="58"/>
  <c r="U47" i="57"/>
  <c r="T47" i="57"/>
  <c r="S47" i="57"/>
  <c r="R47" i="57"/>
  <c r="Q47" i="57"/>
  <c r="P47" i="57"/>
  <c r="U46" i="57"/>
  <c r="T46" i="57"/>
  <c r="T48" i="57" s="1"/>
  <c r="S46" i="57"/>
  <c r="R46" i="57"/>
  <c r="R48" i="57" s="1"/>
  <c r="Q46" i="57"/>
  <c r="P46" i="57"/>
  <c r="P48" i="57" s="1"/>
  <c r="T6" i="57"/>
  <c r="U19" i="57"/>
  <c r="R19" i="57"/>
  <c r="Q19" i="57"/>
  <c r="N19" i="57"/>
  <c r="U18" i="57"/>
  <c r="R18" i="57"/>
  <c r="Q18" i="57"/>
  <c r="N18" i="57"/>
  <c r="U17" i="57"/>
  <c r="R17" i="57"/>
  <c r="Q17" i="57"/>
  <c r="N17" i="57"/>
  <c r="U16" i="57"/>
  <c r="R16" i="57"/>
  <c r="Q16" i="57"/>
  <c r="N16" i="57"/>
  <c r="U15" i="57"/>
  <c r="R15" i="57"/>
  <c r="Q15" i="57"/>
  <c r="N15" i="57"/>
  <c r="N13" i="57"/>
  <c r="U12" i="57"/>
  <c r="T12" i="57"/>
  <c r="Q12" i="57"/>
  <c r="P12" i="57"/>
  <c r="U11" i="57"/>
  <c r="T11" i="57"/>
  <c r="Q11" i="57"/>
  <c r="P11" i="57"/>
  <c r="U10" i="57"/>
  <c r="T10" i="57"/>
  <c r="Q10" i="57"/>
  <c r="P10" i="57"/>
  <c r="U9" i="57"/>
  <c r="T9" i="57"/>
  <c r="Q9" i="57"/>
  <c r="P9" i="57"/>
  <c r="U8" i="57"/>
  <c r="T8" i="57"/>
  <c r="Q8" i="57"/>
  <c r="P8" i="57"/>
  <c r="U7" i="57"/>
  <c r="T7" i="57"/>
  <c r="Q7" i="57"/>
  <c r="P7" i="57"/>
  <c r="U6" i="57"/>
  <c r="Q6" i="57"/>
  <c r="P6" i="57"/>
  <c r="U5" i="57"/>
  <c r="Q5" i="57"/>
  <c r="N3" i="57"/>
  <c r="U47" i="56"/>
  <c r="T47" i="56"/>
  <c r="S47" i="56"/>
  <c r="R47" i="56"/>
  <c r="Q47" i="56"/>
  <c r="P47" i="56"/>
  <c r="U46" i="56"/>
  <c r="T46" i="56"/>
  <c r="S46" i="56"/>
  <c r="R46" i="56"/>
  <c r="R48" i="56" s="1"/>
  <c r="Q46" i="56"/>
  <c r="P46" i="56"/>
  <c r="T6" i="56"/>
  <c r="U19" i="56"/>
  <c r="R19" i="56"/>
  <c r="Q19" i="56"/>
  <c r="N19" i="56"/>
  <c r="U18" i="56"/>
  <c r="R18" i="56"/>
  <c r="Q18" i="56"/>
  <c r="N18" i="56"/>
  <c r="U17" i="56"/>
  <c r="R17" i="56"/>
  <c r="Q17" i="56"/>
  <c r="N17" i="56"/>
  <c r="U16" i="56"/>
  <c r="R16" i="56"/>
  <c r="Q16" i="56"/>
  <c r="N16" i="56"/>
  <c r="U15" i="56"/>
  <c r="U23" i="56" s="1"/>
  <c r="R15" i="56"/>
  <c r="Q15" i="56"/>
  <c r="N15" i="56"/>
  <c r="N13" i="56"/>
  <c r="U12" i="56"/>
  <c r="T12" i="56"/>
  <c r="Q12" i="56"/>
  <c r="P12" i="56"/>
  <c r="U11" i="56"/>
  <c r="T11" i="56"/>
  <c r="Q11" i="56"/>
  <c r="P11" i="56"/>
  <c r="U10" i="56"/>
  <c r="T10" i="56"/>
  <c r="Q10" i="56"/>
  <c r="P10" i="56"/>
  <c r="U9" i="56"/>
  <c r="T9" i="56"/>
  <c r="Q9" i="56"/>
  <c r="P9" i="56"/>
  <c r="U8" i="56"/>
  <c r="T8" i="56"/>
  <c r="Q8" i="56"/>
  <c r="P8" i="56"/>
  <c r="U7" i="56"/>
  <c r="T7" i="56"/>
  <c r="Q7" i="56"/>
  <c r="P7" i="56"/>
  <c r="U6" i="56"/>
  <c r="Q6" i="56"/>
  <c r="P6" i="56"/>
  <c r="U5" i="56"/>
  <c r="Q5" i="56"/>
  <c r="P5" i="56"/>
  <c r="N3" i="56"/>
  <c r="U47" i="55"/>
  <c r="T47" i="55"/>
  <c r="S47" i="55"/>
  <c r="R47" i="55"/>
  <c r="Q47" i="55"/>
  <c r="P47" i="55"/>
  <c r="U46" i="55"/>
  <c r="U48" i="55" s="1"/>
  <c r="T46" i="55"/>
  <c r="S46" i="55"/>
  <c r="R46" i="55"/>
  <c r="Q46" i="55"/>
  <c r="Q48" i="55" s="1"/>
  <c r="P46" i="55"/>
  <c r="U19" i="55"/>
  <c r="R19" i="55"/>
  <c r="Q19" i="55"/>
  <c r="N19" i="55"/>
  <c r="U18" i="55"/>
  <c r="R18" i="55"/>
  <c r="Q18" i="55"/>
  <c r="N18" i="55"/>
  <c r="U17" i="55"/>
  <c r="R17" i="55"/>
  <c r="Q17" i="55"/>
  <c r="N17" i="55"/>
  <c r="U16" i="55"/>
  <c r="R16" i="55"/>
  <c r="Q16" i="55"/>
  <c r="N16" i="55"/>
  <c r="U15" i="55"/>
  <c r="U23" i="55" s="1"/>
  <c r="R15" i="55"/>
  <c r="Q15" i="55"/>
  <c r="N15" i="55"/>
  <c r="N13" i="55"/>
  <c r="U12" i="55"/>
  <c r="T12" i="55"/>
  <c r="Q12" i="55"/>
  <c r="P12" i="55"/>
  <c r="U11" i="55"/>
  <c r="T11" i="55"/>
  <c r="Q11" i="55"/>
  <c r="P11" i="55"/>
  <c r="U10" i="55"/>
  <c r="T10" i="55"/>
  <c r="Q10" i="55"/>
  <c r="P10" i="55"/>
  <c r="U9" i="55"/>
  <c r="Q9" i="55"/>
  <c r="P9" i="55"/>
  <c r="U8" i="55"/>
  <c r="T8" i="55"/>
  <c r="Q8" i="55"/>
  <c r="P8" i="55"/>
  <c r="U7" i="55"/>
  <c r="T7" i="55"/>
  <c r="Q7" i="55"/>
  <c r="P7" i="55"/>
  <c r="Q6" i="55"/>
  <c r="P6" i="55"/>
  <c r="Q5" i="55"/>
  <c r="P5" i="55"/>
  <c r="N3" i="55"/>
  <c r="U47" i="54"/>
  <c r="T47" i="54"/>
  <c r="S47" i="54"/>
  <c r="R47" i="54"/>
  <c r="Q47" i="54"/>
  <c r="P47" i="54"/>
  <c r="U46" i="54"/>
  <c r="T46" i="54"/>
  <c r="T48" i="54" s="1"/>
  <c r="S46" i="54"/>
  <c r="R46" i="54"/>
  <c r="R48" i="54" s="1"/>
  <c r="Q46" i="54"/>
  <c r="P46" i="54"/>
  <c r="P48" i="54" s="1"/>
  <c r="U19" i="54"/>
  <c r="R19" i="54"/>
  <c r="Q19" i="54"/>
  <c r="N19" i="54"/>
  <c r="U18" i="54"/>
  <c r="R18" i="54"/>
  <c r="Q18" i="54"/>
  <c r="N18" i="54"/>
  <c r="U17" i="54"/>
  <c r="R17" i="54"/>
  <c r="Q17" i="54"/>
  <c r="N17" i="54"/>
  <c r="U16" i="54"/>
  <c r="R16" i="54"/>
  <c r="Q16" i="54"/>
  <c r="N16" i="54"/>
  <c r="U15" i="54"/>
  <c r="R15" i="54"/>
  <c r="Q15" i="54"/>
  <c r="Q23" i="54" s="1"/>
  <c r="N15" i="54"/>
  <c r="N13" i="54"/>
  <c r="U12" i="54"/>
  <c r="T12" i="54"/>
  <c r="Q12" i="54"/>
  <c r="P12" i="54"/>
  <c r="U11" i="54"/>
  <c r="T11" i="54"/>
  <c r="Q11" i="54"/>
  <c r="P11" i="54"/>
  <c r="U10" i="54"/>
  <c r="T10" i="54"/>
  <c r="Q10" i="54"/>
  <c r="P10" i="54"/>
  <c r="U9" i="54"/>
  <c r="T9" i="54"/>
  <c r="Q9" i="54"/>
  <c r="P9" i="54"/>
  <c r="U8" i="54"/>
  <c r="T8" i="54"/>
  <c r="Q8" i="54"/>
  <c r="P8" i="54"/>
  <c r="U7" i="54"/>
  <c r="T7" i="54"/>
  <c r="Q7" i="54"/>
  <c r="P7" i="54"/>
  <c r="U6" i="54"/>
  <c r="T6" i="54"/>
  <c r="Q6" i="54"/>
  <c r="P6" i="54"/>
  <c r="U5" i="54"/>
  <c r="Q5" i="54"/>
  <c r="P5" i="54"/>
  <c r="N3" i="54"/>
  <c r="U47" i="53"/>
  <c r="T47" i="53"/>
  <c r="S47" i="53"/>
  <c r="R47" i="53"/>
  <c r="Q47" i="53"/>
  <c r="P47" i="53"/>
  <c r="U46" i="53"/>
  <c r="T46" i="53"/>
  <c r="S46" i="53"/>
  <c r="S48" i="53" s="1"/>
  <c r="R46" i="53"/>
  <c r="R48" i="53" s="1"/>
  <c r="Q46" i="53"/>
  <c r="P46" i="53"/>
  <c r="U19" i="53"/>
  <c r="R19" i="53"/>
  <c r="Q19" i="53"/>
  <c r="N19" i="53"/>
  <c r="U18" i="53"/>
  <c r="R18" i="53"/>
  <c r="Q18" i="53"/>
  <c r="N18" i="53"/>
  <c r="U17" i="53"/>
  <c r="R17" i="53"/>
  <c r="Q17" i="53"/>
  <c r="N17" i="53"/>
  <c r="U16" i="53"/>
  <c r="R16" i="53"/>
  <c r="Q16" i="53"/>
  <c r="N16" i="53"/>
  <c r="U15" i="53"/>
  <c r="U23" i="53" s="1"/>
  <c r="R15" i="53"/>
  <c r="Q15" i="53"/>
  <c r="N15" i="53"/>
  <c r="N13" i="53"/>
  <c r="U12" i="53"/>
  <c r="T12" i="53"/>
  <c r="Q12" i="53"/>
  <c r="P12" i="53"/>
  <c r="U11" i="53"/>
  <c r="T11" i="53"/>
  <c r="Q11" i="53"/>
  <c r="P11" i="53"/>
  <c r="U10" i="53"/>
  <c r="T10" i="53"/>
  <c r="Q10" i="53"/>
  <c r="P10" i="53"/>
  <c r="U9" i="53"/>
  <c r="T9" i="53"/>
  <c r="Q9" i="53"/>
  <c r="P9" i="53"/>
  <c r="U8" i="53"/>
  <c r="T8" i="53"/>
  <c r="Q8" i="53"/>
  <c r="P8" i="53"/>
  <c r="U7" i="53"/>
  <c r="T7" i="53"/>
  <c r="Q7" i="53"/>
  <c r="P7" i="53"/>
  <c r="U6" i="53"/>
  <c r="T6" i="53"/>
  <c r="Q6" i="53"/>
  <c r="P6" i="53"/>
  <c r="U5" i="53"/>
  <c r="Q5" i="53"/>
  <c r="P5" i="53"/>
  <c r="N3" i="53"/>
  <c r="U47" i="52"/>
  <c r="T47" i="52"/>
  <c r="S47" i="52"/>
  <c r="R47" i="52"/>
  <c r="Q47" i="52"/>
  <c r="P47" i="52"/>
  <c r="U46" i="52"/>
  <c r="T46" i="52"/>
  <c r="T48" i="52" s="1"/>
  <c r="S46" i="52"/>
  <c r="S48" i="52" s="1"/>
  <c r="R46" i="52"/>
  <c r="R48" i="52" s="1"/>
  <c r="Q46" i="52"/>
  <c r="P46" i="52"/>
  <c r="P48" i="52" s="1"/>
  <c r="T13" i="52"/>
  <c r="U19" i="52"/>
  <c r="R19" i="52"/>
  <c r="Q19" i="52"/>
  <c r="N19" i="52"/>
  <c r="U18" i="52"/>
  <c r="R18" i="52"/>
  <c r="Q18" i="52"/>
  <c r="N18" i="52"/>
  <c r="U17" i="52"/>
  <c r="R17" i="52"/>
  <c r="Q17" i="52"/>
  <c r="N17" i="52"/>
  <c r="U16" i="52"/>
  <c r="R16" i="52"/>
  <c r="Q16" i="52"/>
  <c r="N16" i="52"/>
  <c r="U15" i="52"/>
  <c r="R15" i="52"/>
  <c r="Q15" i="52"/>
  <c r="Q23" i="52" s="1"/>
  <c r="N15" i="52"/>
  <c r="N13" i="52"/>
  <c r="U12" i="52"/>
  <c r="T12" i="52"/>
  <c r="Q12" i="52"/>
  <c r="P12" i="52"/>
  <c r="U11" i="52"/>
  <c r="T11" i="52"/>
  <c r="Q11" i="52"/>
  <c r="P11" i="52"/>
  <c r="U10" i="52"/>
  <c r="T10" i="52"/>
  <c r="Q10" i="52"/>
  <c r="P10" i="52"/>
  <c r="U9" i="52"/>
  <c r="T9" i="52"/>
  <c r="Q9" i="52"/>
  <c r="P9" i="52"/>
  <c r="U8" i="52"/>
  <c r="T8" i="52"/>
  <c r="Q8" i="52"/>
  <c r="P8" i="52"/>
  <c r="U7" i="52"/>
  <c r="T7" i="52"/>
  <c r="Q7" i="52"/>
  <c r="P7" i="52"/>
  <c r="U6" i="52"/>
  <c r="T6" i="52"/>
  <c r="Q6" i="52"/>
  <c r="P6" i="52"/>
  <c r="U5" i="52"/>
  <c r="T5" i="52"/>
  <c r="Q5" i="52"/>
  <c r="P5" i="52"/>
  <c r="N3" i="52"/>
  <c r="U47" i="51"/>
  <c r="T47" i="51"/>
  <c r="S47" i="51"/>
  <c r="R47" i="51"/>
  <c r="Q47" i="51"/>
  <c r="P47" i="51"/>
  <c r="U46" i="51"/>
  <c r="T46" i="51"/>
  <c r="S46" i="51"/>
  <c r="S48" i="51" s="1"/>
  <c r="R46" i="51"/>
  <c r="Q46" i="51"/>
  <c r="P46" i="51"/>
  <c r="U19" i="51"/>
  <c r="R19" i="51"/>
  <c r="Q19" i="51"/>
  <c r="N19" i="51"/>
  <c r="U18" i="51"/>
  <c r="R18" i="51"/>
  <c r="Q18" i="51"/>
  <c r="N18" i="51"/>
  <c r="U17" i="51"/>
  <c r="R17" i="51"/>
  <c r="Q17" i="51"/>
  <c r="N17" i="51"/>
  <c r="U16" i="51"/>
  <c r="R16" i="51"/>
  <c r="Q16" i="51"/>
  <c r="N16" i="51"/>
  <c r="U15" i="51"/>
  <c r="R15" i="51"/>
  <c r="Q15" i="51"/>
  <c r="Q23" i="51" s="1"/>
  <c r="N15" i="51"/>
  <c r="N13" i="51"/>
  <c r="U12" i="51"/>
  <c r="T12" i="51"/>
  <c r="Q12" i="51"/>
  <c r="P12" i="51"/>
  <c r="U11" i="51"/>
  <c r="T11" i="51"/>
  <c r="Q11" i="51"/>
  <c r="P11" i="51"/>
  <c r="U10" i="51"/>
  <c r="T10" i="51"/>
  <c r="Q10" i="51"/>
  <c r="P10" i="51"/>
  <c r="U9" i="51"/>
  <c r="T9" i="51"/>
  <c r="Q9" i="51"/>
  <c r="P9" i="51"/>
  <c r="U8" i="51"/>
  <c r="T8" i="51"/>
  <c r="Q8" i="51"/>
  <c r="P8" i="51"/>
  <c r="U7" i="51"/>
  <c r="T7" i="51"/>
  <c r="Q7" i="51"/>
  <c r="P7" i="51"/>
  <c r="U6" i="51"/>
  <c r="T6" i="51"/>
  <c r="Q6" i="51"/>
  <c r="P6" i="51"/>
  <c r="U5" i="51"/>
  <c r="Q5" i="51"/>
  <c r="P5" i="51"/>
  <c r="N3" i="51"/>
  <c r="U47" i="50"/>
  <c r="T47" i="50"/>
  <c r="S47" i="50"/>
  <c r="R47" i="50"/>
  <c r="Q47" i="50"/>
  <c r="P47" i="50"/>
  <c r="U46" i="50"/>
  <c r="T46" i="50"/>
  <c r="T48" i="50" s="1"/>
  <c r="S46" i="50"/>
  <c r="R46" i="50"/>
  <c r="Q46" i="50"/>
  <c r="P46" i="50"/>
  <c r="P48" i="50" s="1"/>
  <c r="T13" i="50"/>
  <c r="U19" i="50"/>
  <c r="R19" i="50"/>
  <c r="Q19" i="50"/>
  <c r="N19" i="50"/>
  <c r="U18" i="50"/>
  <c r="R18" i="50"/>
  <c r="Q18" i="50"/>
  <c r="N18" i="50"/>
  <c r="U17" i="50"/>
  <c r="R17" i="50"/>
  <c r="Q17" i="50"/>
  <c r="N17" i="50"/>
  <c r="U16" i="50"/>
  <c r="R16" i="50"/>
  <c r="Q16" i="50"/>
  <c r="N16" i="50"/>
  <c r="U15" i="50"/>
  <c r="R15" i="50"/>
  <c r="Q15" i="50"/>
  <c r="Q23" i="50" s="1"/>
  <c r="N15" i="50"/>
  <c r="N13" i="50"/>
  <c r="U12" i="50"/>
  <c r="T12" i="50"/>
  <c r="Q12" i="50"/>
  <c r="P12" i="50"/>
  <c r="U11" i="50"/>
  <c r="T11" i="50"/>
  <c r="Q11" i="50"/>
  <c r="P11" i="50"/>
  <c r="U10" i="50"/>
  <c r="T10" i="50"/>
  <c r="Q10" i="50"/>
  <c r="P10" i="50"/>
  <c r="U9" i="50"/>
  <c r="T9" i="50"/>
  <c r="Q9" i="50"/>
  <c r="P9" i="50"/>
  <c r="U8" i="50"/>
  <c r="T8" i="50"/>
  <c r="Q8" i="50"/>
  <c r="P8" i="50"/>
  <c r="U7" i="50"/>
  <c r="T7" i="50"/>
  <c r="Q7" i="50"/>
  <c r="P7" i="50"/>
  <c r="U6" i="50"/>
  <c r="T6" i="50"/>
  <c r="Q6" i="50"/>
  <c r="P6" i="50"/>
  <c r="U5" i="50"/>
  <c r="T5" i="50"/>
  <c r="Q5" i="50"/>
  <c r="P5" i="50"/>
  <c r="N3" i="50"/>
  <c r="U47" i="49"/>
  <c r="T47" i="49"/>
  <c r="S47" i="49"/>
  <c r="R47" i="49"/>
  <c r="Q47" i="49"/>
  <c r="P47" i="49"/>
  <c r="U46" i="49"/>
  <c r="T46" i="49"/>
  <c r="S46" i="49"/>
  <c r="S48" i="49" s="1"/>
  <c r="R46" i="49"/>
  <c r="Q46" i="49"/>
  <c r="Q48" i="49" s="1"/>
  <c r="P46" i="49"/>
  <c r="U19" i="49"/>
  <c r="R19" i="49"/>
  <c r="Q19" i="49"/>
  <c r="N19" i="49"/>
  <c r="U18" i="49"/>
  <c r="R18" i="49"/>
  <c r="Q18" i="49"/>
  <c r="N18" i="49"/>
  <c r="U17" i="49"/>
  <c r="R17" i="49"/>
  <c r="Q17" i="49"/>
  <c r="N17" i="49"/>
  <c r="U16" i="49"/>
  <c r="R16" i="49"/>
  <c r="Q16" i="49"/>
  <c r="N16" i="49"/>
  <c r="U15" i="49"/>
  <c r="U23" i="49" s="1"/>
  <c r="R15" i="49"/>
  <c r="Q15" i="49"/>
  <c r="N15" i="49"/>
  <c r="N13" i="49"/>
  <c r="U12" i="49"/>
  <c r="T12" i="49"/>
  <c r="Q12" i="49"/>
  <c r="P12" i="49"/>
  <c r="U11" i="49"/>
  <c r="T11" i="49"/>
  <c r="Q11" i="49"/>
  <c r="P11" i="49"/>
  <c r="U10" i="49"/>
  <c r="T10" i="49"/>
  <c r="Q10" i="49"/>
  <c r="P10" i="49"/>
  <c r="U9" i="49"/>
  <c r="T9" i="49"/>
  <c r="Q9" i="49"/>
  <c r="P9" i="49"/>
  <c r="U8" i="49"/>
  <c r="T8" i="49"/>
  <c r="Q8" i="49"/>
  <c r="P8" i="49"/>
  <c r="U7" i="49"/>
  <c r="T7" i="49"/>
  <c r="Q7" i="49"/>
  <c r="P7" i="49"/>
  <c r="U6" i="49"/>
  <c r="T6" i="49"/>
  <c r="Q6" i="49"/>
  <c r="P6" i="49"/>
  <c r="U5" i="49"/>
  <c r="Q5" i="49"/>
  <c r="P5" i="49"/>
  <c r="N3" i="49"/>
  <c r="U47" i="48"/>
  <c r="T47" i="48"/>
  <c r="S47" i="48"/>
  <c r="R47" i="48"/>
  <c r="Q47" i="48"/>
  <c r="P47" i="48"/>
  <c r="U46" i="48"/>
  <c r="T46" i="48"/>
  <c r="T48" i="48" s="1"/>
  <c r="S46" i="48"/>
  <c r="R46" i="48"/>
  <c r="R48" i="48" s="1"/>
  <c r="Q46" i="48"/>
  <c r="P46" i="48"/>
  <c r="P48" i="48" s="1"/>
  <c r="T7" i="48"/>
  <c r="T13" i="48"/>
  <c r="U19" i="48"/>
  <c r="R19" i="48"/>
  <c r="Q19" i="48"/>
  <c r="N19" i="48"/>
  <c r="U18" i="48"/>
  <c r="R18" i="48"/>
  <c r="Q18" i="48"/>
  <c r="N18" i="48"/>
  <c r="U17" i="48"/>
  <c r="R17" i="48"/>
  <c r="Q17" i="48"/>
  <c r="N17" i="48"/>
  <c r="U16" i="48"/>
  <c r="R16" i="48"/>
  <c r="Q16" i="48"/>
  <c r="N16" i="48"/>
  <c r="U15" i="48"/>
  <c r="R15" i="48"/>
  <c r="Q15" i="48"/>
  <c r="Q23" i="48" s="1"/>
  <c r="N15" i="48"/>
  <c r="N13" i="48"/>
  <c r="U12" i="48"/>
  <c r="T12" i="48"/>
  <c r="Q12" i="48"/>
  <c r="P12" i="48"/>
  <c r="U11" i="48"/>
  <c r="T11" i="48"/>
  <c r="Q11" i="48"/>
  <c r="P11" i="48"/>
  <c r="U10" i="48"/>
  <c r="T10" i="48"/>
  <c r="Q10" i="48"/>
  <c r="P10" i="48"/>
  <c r="U9" i="48"/>
  <c r="T9" i="48"/>
  <c r="Q9" i="48"/>
  <c r="P9" i="48"/>
  <c r="U8" i="48"/>
  <c r="T8" i="48"/>
  <c r="Q8" i="48"/>
  <c r="P8" i="48"/>
  <c r="U7" i="48"/>
  <c r="Q7" i="48"/>
  <c r="P7" i="48"/>
  <c r="U6" i="48"/>
  <c r="T6" i="48"/>
  <c r="Q6" i="48"/>
  <c r="P6" i="48"/>
  <c r="U5" i="48"/>
  <c r="Q5" i="48"/>
  <c r="P5" i="48"/>
  <c r="N3" i="48"/>
  <c r="U47" i="47"/>
  <c r="T47" i="47"/>
  <c r="S47" i="47"/>
  <c r="R47" i="47"/>
  <c r="Q47" i="47"/>
  <c r="P47" i="47"/>
  <c r="U46" i="47"/>
  <c r="T46" i="47"/>
  <c r="S46" i="47"/>
  <c r="R46" i="47"/>
  <c r="R48" i="47" s="1"/>
  <c r="Q46" i="47"/>
  <c r="P46" i="47"/>
  <c r="T13" i="47"/>
  <c r="U19" i="47"/>
  <c r="R19" i="47"/>
  <c r="Q19" i="47"/>
  <c r="N19" i="47"/>
  <c r="U18" i="47"/>
  <c r="R18" i="47"/>
  <c r="Q18" i="47"/>
  <c r="N18" i="47"/>
  <c r="U17" i="47"/>
  <c r="R17" i="47"/>
  <c r="Q17" i="47"/>
  <c r="N17" i="47"/>
  <c r="U16" i="47"/>
  <c r="R16" i="47"/>
  <c r="Q16" i="47"/>
  <c r="N16" i="47"/>
  <c r="U15" i="47"/>
  <c r="R15" i="47"/>
  <c r="Q15" i="47"/>
  <c r="Q23" i="47" s="1"/>
  <c r="N15" i="47"/>
  <c r="N13" i="47"/>
  <c r="U12" i="47"/>
  <c r="T12" i="47"/>
  <c r="Q12" i="47"/>
  <c r="P12" i="47"/>
  <c r="U11" i="47"/>
  <c r="T11" i="47"/>
  <c r="Q11" i="47"/>
  <c r="P11" i="47"/>
  <c r="U10" i="47"/>
  <c r="T10" i="47"/>
  <c r="Q10" i="47"/>
  <c r="P10" i="47"/>
  <c r="U9" i="47"/>
  <c r="T9" i="47"/>
  <c r="Q9" i="47"/>
  <c r="P9" i="47"/>
  <c r="U8" i="47"/>
  <c r="T8" i="47"/>
  <c r="Q8" i="47"/>
  <c r="P8" i="47"/>
  <c r="U7" i="47"/>
  <c r="T7" i="47"/>
  <c r="Q7" i="47"/>
  <c r="P7" i="47"/>
  <c r="U6" i="47"/>
  <c r="T6" i="47"/>
  <c r="Q6" i="47"/>
  <c r="P6" i="47"/>
  <c r="U5" i="47"/>
  <c r="Q5" i="47"/>
  <c r="P5" i="47"/>
  <c r="N3" i="47"/>
  <c r="U47" i="46"/>
  <c r="T47" i="46"/>
  <c r="S47" i="46"/>
  <c r="R47" i="46"/>
  <c r="Q47" i="46"/>
  <c r="P47" i="46"/>
  <c r="U46" i="46"/>
  <c r="T46" i="46"/>
  <c r="S46" i="46"/>
  <c r="R46" i="46"/>
  <c r="Q46" i="46"/>
  <c r="P46" i="46"/>
  <c r="T13" i="46"/>
  <c r="U19" i="46"/>
  <c r="R19" i="46"/>
  <c r="Q19" i="46"/>
  <c r="N19" i="46"/>
  <c r="U18" i="46"/>
  <c r="R18" i="46"/>
  <c r="Q18" i="46"/>
  <c r="N18" i="46"/>
  <c r="U17" i="46"/>
  <c r="R17" i="46"/>
  <c r="Q17" i="46"/>
  <c r="N17" i="46"/>
  <c r="U16" i="46"/>
  <c r="R16" i="46"/>
  <c r="Q16" i="46"/>
  <c r="N16" i="46"/>
  <c r="U15" i="46"/>
  <c r="R15" i="46"/>
  <c r="Q15" i="46"/>
  <c r="Q23" i="46" s="1"/>
  <c r="N15" i="46"/>
  <c r="N13" i="46"/>
  <c r="U12" i="46"/>
  <c r="T12" i="46"/>
  <c r="Q12" i="46"/>
  <c r="P12" i="46"/>
  <c r="U11" i="46"/>
  <c r="T11" i="46"/>
  <c r="Q11" i="46"/>
  <c r="P11" i="46"/>
  <c r="U10" i="46"/>
  <c r="T10" i="46"/>
  <c r="Q10" i="46"/>
  <c r="P10" i="46"/>
  <c r="U9" i="46"/>
  <c r="T9" i="46"/>
  <c r="Q9" i="46"/>
  <c r="P9" i="46"/>
  <c r="U8" i="46"/>
  <c r="T8" i="46"/>
  <c r="Q8" i="46"/>
  <c r="P8" i="46"/>
  <c r="U7" i="46"/>
  <c r="T7" i="46"/>
  <c r="Q7" i="46"/>
  <c r="P7" i="46"/>
  <c r="U6" i="46"/>
  <c r="T6" i="46"/>
  <c r="Q6" i="46"/>
  <c r="P6" i="46"/>
  <c r="U5" i="46"/>
  <c r="Q5" i="46"/>
  <c r="P5" i="46"/>
  <c r="N3" i="46"/>
  <c r="P48" i="69" l="1"/>
  <c r="Q48" i="57"/>
  <c r="S48" i="72"/>
  <c r="T48" i="63"/>
  <c r="P48" i="56"/>
  <c r="T48" i="56"/>
  <c r="U48" i="49"/>
  <c r="T48" i="47"/>
  <c r="P48" i="47"/>
  <c r="Q48" i="46"/>
  <c r="U48" i="46"/>
  <c r="R48" i="46"/>
  <c r="S48" i="74"/>
  <c r="R48" i="71"/>
  <c r="S48" i="70"/>
  <c r="Q48" i="63"/>
  <c r="U48" i="63"/>
  <c r="Q48" i="62"/>
  <c r="U48" i="61"/>
  <c r="R48" i="60"/>
  <c r="U48" i="57"/>
  <c r="Q48" i="58"/>
  <c r="U48" i="58"/>
  <c r="Q48" i="51"/>
  <c r="U48" i="51"/>
  <c r="R48" i="51"/>
  <c r="P48" i="49"/>
  <c r="R48" i="49"/>
  <c r="S48" i="46"/>
  <c r="P48" i="46"/>
  <c r="T48" i="46"/>
  <c r="Q48" i="75"/>
  <c r="Q48" i="74"/>
  <c r="Q48" i="73"/>
  <c r="U48" i="73"/>
  <c r="R48" i="70"/>
  <c r="P48" i="70"/>
  <c r="R48" i="69"/>
  <c r="S48" i="68"/>
  <c r="R48" i="67"/>
  <c r="Q48" i="66"/>
  <c r="U48" i="66"/>
  <c r="U48" i="62"/>
  <c r="R48" i="61"/>
  <c r="P48" i="59"/>
  <c r="T48" i="59"/>
  <c r="S48" i="56"/>
  <c r="P48" i="55"/>
  <c r="T48" i="55"/>
  <c r="S48" i="54"/>
  <c r="S48" i="50"/>
  <c r="R48" i="50"/>
  <c r="S48" i="47"/>
  <c r="S48" i="48"/>
  <c r="S48" i="75"/>
  <c r="U48" i="75"/>
  <c r="T48" i="74"/>
  <c r="U48" i="74"/>
  <c r="S48" i="73"/>
  <c r="T48" i="73"/>
  <c r="Q48" i="72"/>
  <c r="U48" i="72"/>
  <c r="P48" i="71"/>
  <c r="T48" i="71"/>
  <c r="T48" i="70"/>
  <c r="T48" i="69"/>
  <c r="Q48" i="68"/>
  <c r="U48" i="68"/>
  <c r="R48" i="68"/>
  <c r="P48" i="67"/>
  <c r="T48" i="67"/>
  <c r="S48" i="66"/>
  <c r="Q48" i="65"/>
  <c r="R48" i="64"/>
  <c r="S48" i="64"/>
  <c r="S48" i="63"/>
  <c r="S48" i="62"/>
  <c r="S48" i="61"/>
  <c r="P48" i="60"/>
  <c r="T48" i="60"/>
  <c r="R48" i="59"/>
  <c r="S48" i="57"/>
  <c r="Q48" i="56"/>
  <c r="U48" i="56"/>
  <c r="R48" i="55"/>
  <c r="S48" i="55"/>
  <c r="Q48" i="54"/>
  <c r="U48" i="54"/>
  <c r="P48" i="53"/>
  <c r="T48" i="53"/>
  <c r="Q48" i="53"/>
  <c r="U48" i="53"/>
  <c r="Q48" i="52"/>
  <c r="U48" i="52"/>
  <c r="P48" i="51"/>
  <c r="T48" i="51"/>
  <c r="Q48" i="50"/>
  <c r="U48" i="50"/>
  <c r="T48" i="49"/>
  <c r="Q48" i="48"/>
  <c r="Q48" i="47"/>
  <c r="Q14" i="75"/>
  <c r="Q14" i="74"/>
  <c r="U14" i="73"/>
  <c r="U24" i="73" s="1"/>
  <c r="U14" i="72"/>
  <c r="U24" i="72" s="1"/>
  <c r="U14" i="71"/>
  <c r="U24" i="71" s="1"/>
  <c r="Q14" i="70"/>
  <c r="Q24" i="70" s="1"/>
  <c r="U14" i="69"/>
  <c r="Q14" i="68"/>
  <c r="Q24" i="68" s="1"/>
  <c r="Q14" i="67"/>
  <c r="Q24" i="67" s="1"/>
  <c r="Q14" i="63"/>
  <c r="Q14" i="61"/>
  <c r="Q24" i="61" s="1"/>
  <c r="U14" i="59"/>
  <c r="U24" i="59" s="1"/>
  <c r="U14" i="58"/>
  <c r="U24" i="58" s="1"/>
  <c r="U14" i="56"/>
  <c r="U24" i="56" s="1"/>
  <c r="U14" i="54"/>
  <c r="U24" i="54" s="1"/>
  <c r="T14" i="52"/>
  <c r="Q14" i="52"/>
  <c r="Q24" i="52" s="1"/>
  <c r="T14" i="50"/>
  <c r="Q14" i="50"/>
  <c r="Q24" i="50" s="1"/>
  <c r="Q14" i="49"/>
  <c r="P48" i="63"/>
  <c r="Q14" i="46"/>
  <c r="Q24" i="46" s="1"/>
  <c r="P13" i="49"/>
  <c r="P14" i="49" s="1"/>
  <c r="U14" i="49"/>
  <c r="U24" i="49" s="1"/>
  <c r="T5" i="49"/>
  <c r="P13" i="53"/>
  <c r="P14" i="53" s="1"/>
  <c r="P13" i="57"/>
  <c r="U14" i="57"/>
  <c r="Q23" i="57"/>
  <c r="Q23" i="60"/>
  <c r="Q23" i="62"/>
  <c r="Q23" i="64"/>
  <c r="T14" i="64"/>
  <c r="P13" i="66"/>
  <c r="P14" i="66" s="1"/>
  <c r="Q14" i="47"/>
  <c r="Q24" i="47" s="1"/>
  <c r="P13" i="46"/>
  <c r="P14" i="46" s="1"/>
  <c r="U23" i="46"/>
  <c r="U14" i="47"/>
  <c r="U23" i="47"/>
  <c r="U14" i="48"/>
  <c r="U23" i="48"/>
  <c r="Q23" i="49"/>
  <c r="U14" i="50"/>
  <c r="U24" i="50" s="1"/>
  <c r="U23" i="50"/>
  <c r="U14" i="51"/>
  <c r="U23" i="51"/>
  <c r="U14" i="52"/>
  <c r="U24" i="52" s="1"/>
  <c r="U23" i="52"/>
  <c r="Q23" i="53"/>
  <c r="T13" i="53"/>
  <c r="U23" i="54"/>
  <c r="Q14" i="55"/>
  <c r="Q24" i="55" s="1"/>
  <c r="P5" i="57"/>
  <c r="Q14" i="62"/>
  <c r="Q14" i="64"/>
  <c r="Q24" i="64" s="1"/>
  <c r="P13" i="65"/>
  <c r="U14" i="46"/>
  <c r="U24" i="46" s="1"/>
  <c r="P13" i="54"/>
  <c r="P14" i="54" s="1"/>
  <c r="T13" i="54"/>
  <c r="T5" i="55"/>
  <c r="Q23" i="61"/>
  <c r="T13" i="61"/>
  <c r="Q23" i="63"/>
  <c r="T13" i="63"/>
  <c r="T14" i="63" s="1"/>
  <c r="Q23" i="65"/>
  <c r="T13" i="65"/>
  <c r="T14" i="65" s="1"/>
  <c r="T13" i="67"/>
  <c r="P5" i="69"/>
  <c r="P14" i="69" s="1"/>
  <c r="T13" i="69"/>
  <c r="U23" i="70"/>
  <c r="T13" i="73"/>
  <c r="T13" i="74"/>
  <c r="T14" i="74" s="1"/>
  <c r="U23" i="75"/>
  <c r="U23" i="57"/>
  <c r="U23" i="60"/>
  <c r="U14" i="61"/>
  <c r="U24" i="61" s="1"/>
  <c r="U23" i="61"/>
  <c r="U14" i="62"/>
  <c r="U23" i="62"/>
  <c r="U14" i="63"/>
  <c r="U23" i="63"/>
  <c r="U14" i="64"/>
  <c r="U23" i="64"/>
  <c r="U23" i="65"/>
  <c r="U14" i="66"/>
  <c r="P13" i="68"/>
  <c r="P13" i="70"/>
  <c r="P14" i="70" s="1"/>
  <c r="P13" i="75"/>
  <c r="P14" i="75" s="1"/>
  <c r="Q23" i="55"/>
  <c r="T13" i="55"/>
  <c r="Q14" i="56"/>
  <c r="Q24" i="56" s="1"/>
  <c r="Q23" i="56"/>
  <c r="T13" i="56"/>
  <c r="Q14" i="57"/>
  <c r="Q24" i="57" s="1"/>
  <c r="T13" i="57"/>
  <c r="Q14" i="58"/>
  <c r="Q24" i="58" s="1"/>
  <c r="Q23" i="58"/>
  <c r="T13" i="58"/>
  <c r="T14" i="58" s="1"/>
  <c r="Q23" i="59"/>
  <c r="T13" i="59"/>
  <c r="U23" i="66"/>
  <c r="U14" i="67"/>
  <c r="U23" i="67"/>
  <c r="U14" i="68"/>
  <c r="U24" i="68" s="1"/>
  <c r="Q23" i="68"/>
  <c r="T13" i="68"/>
  <c r="U23" i="69"/>
  <c r="U14" i="70"/>
  <c r="Q23" i="70"/>
  <c r="T13" i="70"/>
  <c r="T14" i="70" s="1"/>
  <c r="Q14" i="71"/>
  <c r="Q24" i="71" s="1"/>
  <c r="Q23" i="71"/>
  <c r="T13" i="71"/>
  <c r="T14" i="71" s="1"/>
  <c r="S14" i="71" s="1"/>
  <c r="Q14" i="72"/>
  <c r="Q23" i="72"/>
  <c r="T13" i="72"/>
  <c r="U23" i="73"/>
  <c r="U14" i="74"/>
  <c r="U23" i="74"/>
  <c r="U14" i="75"/>
  <c r="Q23" i="75"/>
  <c r="T13" i="75"/>
  <c r="T14" i="75" s="1"/>
  <c r="Q14" i="73"/>
  <c r="Q24" i="73" s="1"/>
  <c r="Q14" i="69"/>
  <c r="Q24" i="69" s="1"/>
  <c r="Q14" i="66"/>
  <c r="U48" i="65"/>
  <c r="T48" i="65"/>
  <c r="S48" i="65"/>
  <c r="R48" i="65"/>
  <c r="P48" i="65"/>
  <c r="U14" i="65"/>
  <c r="U24" i="65" s="1"/>
  <c r="Q14" i="65"/>
  <c r="Q24" i="65" s="1"/>
  <c r="U14" i="60"/>
  <c r="Q14" i="60"/>
  <c r="Q24" i="60" s="1"/>
  <c r="Q14" i="59"/>
  <c r="Q24" i="59" s="1"/>
  <c r="U14" i="55"/>
  <c r="U24" i="55" s="1"/>
  <c r="Q14" i="54"/>
  <c r="Q24" i="54" s="1"/>
  <c r="U14" i="53"/>
  <c r="U24" i="53" s="1"/>
  <c r="Q14" i="53"/>
  <c r="Q24" i="53" s="1"/>
  <c r="T13" i="51"/>
  <c r="Q14" i="51"/>
  <c r="Q24" i="51" s="1"/>
  <c r="T13" i="49"/>
  <c r="U48" i="48"/>
  <c r="Q14" i="48"/>
  <c r="Q24" i="48" s="1"/>
  <c r="U48" i="47"/>
  <c r="Q24" i="74"/>
  <c r="P13" i="74"/>
  <c r="P14" i="74" s="1"/>
  <c r="O14" i="74" s="1"/>
  <c r="P14" i="73"/>
  <c r="T5" i="73"/>
  <c r="P13" i="72"/>
  <c r="P14" i="72" s="1"/>
  <c r="T5" i="72"/>
  <c r="P13" i="71"/>
  <c r="P14" i="71" s="1"/>
  <c r="T5" i="69"/>
  <c r="T14" i="69" s="1"/>
  <c r="P14" i="68"/>
  <c r="O14" i="68" s="1"/>
  <c r="T5" i="68"/>
  <c r="T14" i="68" s="1"/>
  <c r="S14" i="68" s="1"/>
  <c r="P13" i="67"/>
  <c r="P14" i="67" s="1"/>
  <c r="T5" i="67"/>
  <c r="T5" i="66"/>
  <c r="T14" i="66" s="1"/>
  <c r="P5" i="65"/>
  <c r="P14" i="65" s="1"/>
  <c r="P13" i="64"/>
  <c r="P14" i="64" s="1"/>
  <c r="P13" i="63"/>
  <c r="P14" i="63" s="1"/>
  <c r="P13" i="62"/>
  <c r="P14" i="62" s="1"/>
  <c r="O14" i="62" s="1"/>
  <c r="T5" i="62"/>
  <c r="T14" i="62" s="1"/>
  <c r="S14" i="62" s="1"/>
  <c r="P13" i="61"/>
  <c r="P14" i="61" s="1"/>
  <c r="T5" i="61"/>
  <c r="T14" i="61" s="1"/>
  <c r="P13" i="60"/>
  <c r="P14" i="60" s="1"/>
  <c r="T5" i="60"/>
  <c r="T14" i="60" s="1"/>
  <c r="P13" i="59"/>
  <c r="P14" i="59" s="1"/>
  <c r="T5" i="59"/>
  <c r="T14" i="59" s="1"/>
  <c r="S14" i="59" s="1"/>
  <c r="P13" i="58"/>
  <c r="P14" i="58" s="1"/>
  <c r="T5" i="57"/>
  <c r="T14" i="57" s="1"/>
  <c r="S14" i="57" s="1"/>
  <c r="P13" i="56"/>
  <c r="P14" i="56" s="1"/>
  <c r="T5" i="56"/>
  <c r="P13" i="55"/>
  <c r="P14" i="55" s="1"/>
  <c r="T6" i="55"/>
  <c r="T5" i="54"/>
  <c r="T5" i="53"/>
  <c r="P13" i="52"/>
  <c r="P14" i="52" s="1"/>
  <c r="P13" i="51"/>
  <c r="P14" i="51" s="1"/>
  <c r="T5" i="51"/>
  <c r="P13" i="50"/>
  <c r="P14" i="50" s="1"/>
  <c r="Q24" i="49"/>
  <c r="P13" i="48"/>
  <c r="P14" i="48" s="1"/>
  <c r="T5" i="48"/>
  <c r="T14" i="48" s="1"/>
  <c r="P13" i="47"/>
  <c r="P14" i="47" s="1"/>
  <c r="T5" i="47"/>
  <c r="T14" i="47" s="1"/>
  <c r="S14" i="47" s="1"/>
  <c r="T5" i="46"/>
  <c r="T14" i="46" s="1"/>
  <c r="U47" i="45"/>
  <c r="T47" i="45"/>
  <c r="S47" i="45"/>
  <c r="R47" i="45"/>
  <c r="Q47" i="45"/>
  <c r="P47" i="45"/>
  <c r="L47" i="45"/>
  <c r="U46" i="45"/>
  <c r="T46" i="45"/>
  <c r="S46" i="45"/>
  <c r="R46" i="45"/>
  <c r="Q46" i="45"/>
  <c r="P46" i="45"/>
  <c r="L23" i="45"/>
  <c r="U19" i="45"/>
  <c r="R19" i="45"/>
  <c r="Q19" i="45"/>
  <c r="N19" i="45"/>
  <c r="U18" i="45"/>
  <c r="R18" i="45"/>
  <c r="Q18" i="45"/>
  <c r="N18" i="45"/>
  <c r="U17" i="45"/>
  <c r="R17" i="45"/>
  <c r="Q17" i="45"/>
  <c r="N17" i="45"/>
  <c r="U16" i="45"/>
  <c r="R16" i="45"/>
  <c r="Q16" i="45"/>
  <c r="N16" i="45"/>
  <c r="U15" i="45"/>
  <c r="U23" i="45" s="1"/>
  <c r="R15" i="45"/>
  <c r="Q15" i="45"/>
  <c r="N15" i="45"/>
  <c r="N13" i="45"/>
  <c r="U12" i="45"/>
  <c r="T12" i="45"/>
  <c r="Q12" i="45"/>
  <c r="P12" i="45"/>
  <c r="U11" i="45"/>
  <c r="T11" i="45"/>
  <c r="Q11" i="45"/>
  <c r="P11" i="45"/>
  <c r="U10" i="45"/>
  <c r="T10" i="45"/>
  <c r="Q10" i="45"/>
  <c r="P10" i="45"/>
  <c r="U9" i="45"/>
  <c r="T9" i="45"/>
  <c r="Q9" i="45"/>
  <c r="P9" i="45"/>
  <c r="U8" i="45"/>
  <c r="T8" i="45"/>
  <c r="Q8" i="45"/>
  <c r="P8" i="45"/>
  <c r="U7" i="45"/>
  <c r="T7" i="45"/>
  <c r="Q7" i="45"/>
  <c r="P7" i="45"/>
  <c r="U6" i="45"/>
  <c r="T6" i="45"/>
  <c r="Q6" i="45"/>
  <c r="P6" i="45"/>
  <c r="U5" i="45"/>
  <c r="Q5" i="45"/>
  <c r="P5" i="45"/>
  <c r="N3" i="45"/>
  <c r="Q24" i="75" l="1"/>
  <c r="U24" i="74"/>
  <c r="Q24" i="72"/>
  <c r="V24" i="72" s="1"/>
  <c r="U24" i="70"/>
  <c r="U24" i="69"/>
  <c r="U24" i="64"/>
  <c r="O14" i="64"/>
  <c r="Q24" i="63"/>
  <c r="U24" i="62"/>
  <c r="Q24" i="62"/>
  <c r="U24" i="60"/>
  <c r="U24" i="57"/>
  <c r="V24" i="57" s="1"/>
  <c r="O14" i="56"/>
  <c r="U24" i="51"/>
  <c r="U24" i="47"/>
  <c r="V24" i="47" s="1"/>
  <c r="T14" i="73"/>
  <c r="S14" i="73" s="1"/>
  <c r="S14" i="69"/>
  <c r="S14" i="61"/>
  <c r="T14" i="51"/>
  <c r="S14" i="46"/>
  <c r="O14" i="61"/>
  <c r="S14" i="51"/>
  <c r="T14" i="72"/>
  <c r="S14" i="72" s="1"/>
  <c r="P14" i="57"/>
  <c r="O14" i="57" s="1"/>
  <c r="V14" i="57" s="1"/>
  <c r="O14" i="55"/>
  <c r="O14" i="49"/>
  <c r="T48" i="45"/>
  <c r="P48" i="45"/>
  <c r="S14" i="74"/>
  <c r="V14" i="74" s="1"/>
  <c r="O14" i="73"/>
  <c r="V14" i="73" s="1"/>
  <c r="O14" i="72"/>
  <c r="V14" i="72" s="1"/>
  <c r="O14" i="70"/>
  <c r="T14" i="67"/>
  <c r="S14" i="67" s="1"/>
  <c r="O14" i="66"/>
  <c r="Q24" i="66"/>
  <c r="S14" i="64"/>
  <c r="V14" i="64" s="1"/>
  <c r="O14" i="58"/>
  <c r="T14" i="56"/>
  <c r="S14" i="56" s="1"/>
  <c r="T14" i="54"/>
  <c r="S14" i="54" s="1"/>
  <c r="S14" i="52"/>
  <c r="O14" i="52"/>
  <c r="O14" i="50"/>
  <c r="T14" i="49"/>
  <c r="S14" i="49" s="1"/>
  <c r="V14" i="49" s="1"/>
  <c r="Q48" i="45"/>
  <c r="O14" i="75"/>
  <c r="O14" i="67"/>
  <c r="S14" i="63"/>
  <c r="O14" i="63"/>
  <c r="S14" i="58"/>
  <c r="O14" i="54"/>
  <c r="T14" i="53"/>
  <c r="S14" i="53" s="1"/>
  <c r="O14" i="53"/>
  <c r="O14" i="51"/>
  <c r="S14" i="50"/>
  <c r="S14" i="75"/>
  <c r="U24" i="75"/>
  <c r="V24" i="75" s="1"/>
  <c r="O14" i="71"/>
  <c r="V14" i="71" s="1"/>
  <c r="S14" i="70"/>
  <c r="U24" i="67"/>
  <c r="V24" i="67" s="1"/>
  <c r="S14" i="66"/>
  <c r="V24" i="65"/>
  <c r="U24" i="63"/>
  <c r="T14" i="55"/>
  <c r="S14" i="55" s="1"/>
  <c r="S14" i="48"/>
  <c r="O14" i="47"/>
  <c r="V14" i="47" s="1"/>
  <c r="O14" i="46"/>
  <c r="V14" i="46" s="1"/>
  <c r="U14" i="45"/>
  <c r="U24" i="45" s="1"/>
  <c r="R48" i="45"/>
  <c r="S48" i="45"/>
  <c r="V14" i="62"/>
  <c r="Q14" i="45"/>
  <c r="Q24" i="45" s="1"/>
  <c r="Q23" i="45"/>
  <c r="U24" i="48"/>
  <c r="V24" i="48" s="1"/>
  <c r="V24" i="50"/>
  <c r="V24" i="64"/>
  <c r="V14" i="68"/>
  <c r="V24" i="74"/>
  <c r="U24" i="66"/>
  <c r="V24" i="73"/>
  <c r="O14" i="69"/>
  <c r="V14" i="69" s="1"/>
  <c r="V24" i="68"/>
  <c r="S14" i="65"/>
  <c r="O14" i="65"/>
  <c r="V24" i="62"/>
  <c r="S14" i="60"/>
  <c r="O14" i="60"/>
  <c r="V24" i="60"/>
  <c r="O14" i="59"/>
  <c r="V14" i="59" s="1"/>
  <c r="V24" i="56"/>
  <c r="V24" i="54"/>
  <c r="V24" i="51"/>
  <c r="O14" i="48"/>
  <c r="V24" i="46"/>
  <c r="U48" i="45"/>
  <c r="T13" i="45"/>
  <c r="V24" i="71"/>
  <c r="V24" i="70"/>
  <c r="V24" i="69"/>
  <c r="V24" i="61"/>
  <c r="V24" i="59"/>
  <c r="V24" i="58"/>
  <c r="V24" i="55"/>
  <c r="V24" i="53"/>
  <c r="V24" i="52"/>
  <c r="V24" i="49"/>
  <c r="P13" i="45"/>
  <c r="P14" i="45" s="1"/>
  <c r="T5" i="45"/>
  <c r="V24" i="63" l="1"/>
  <c r="V14" i="61"/>
  <c r="V14" i="56"/>
  <c r="V14" i="67"/>
  <c r="V14" i="51"/>
  <c r="V14" i="70"/>
  <c r="V14" i="58"/>
  <c r="V14" i="55"/>
  <c r="V14" i="52"/>
  <c r="V14" i="50"/>
  <c r="V24" i="66"/>
  <c r="V14" i="63"/>
  <c r="V14" i="54"/>
  <c r="V14" i="75"/>
  <c r="V14" i="66"/>
  <c r="V14" i="53"/>
  <c r="V14" i="48"/>
  <c r="V14" i="60"/>
  <c r="O14" i="45"/>
  <c r="T14" i="45"/>
  <c r="S14" i="45" s="1"/>
  <c r="V14" i="65"/>
  <c r="V24" i="45"/>
  <c r="V14" i="45" l="1"/>
</calcChain>
</file>

<file path=xl/sharedStrings.xml><?xml version="1.0" encoding="utf-8"?>
<sst xmlns="http://schemas.openxmlformats.org/spreadsheetml/2006/main" count="2195" uniqueCount="94">
  <si>
    <t>TURNO</t>
  </si>
  <si>
    <t>MAÑANA</t>
  </si>
  <si>
    <t>DOCTOR</t>
  </si>
  <si>
    <t>EFECTIVO</t>
  </si>
  <si>
    <t>TARJETA</t>
  </si>
  <si>
    <t>GASTOS DEL TURNO</t>
  </si>
  <si>
    <t>TOTAL DEL TURNO</t>
  </si>
  <si>
    <t>POS 6%</t>
  </si>
  <si>
    <t>TARDE</t>
  </si>
  <si>
    <t xml:space="preserve">FECHA: </t>
  </si>
  <si>
    <t>TURNO MAÑANA</t>
  </si>
  <si>
    <t>N°</t>
  </si>
  <si>
    <t xml:space="preserve">PACIENTE </t>
  </si>
  <si>
    <t>TOTAL TARJETA</t>
  </si>
  <si>
    <t>DOC.</t>
  </si>
  <si>
    <t>T</t>
  </si>
  <si>
    <t>E</t>
  </si>
  <si>
    <t>TURNO TARDE</t>
  </si>
  <si>
    <t>TOTAL M+T</t>
  </si>
  <si>
    <t>TOTAL MAÑANA</t>
  </si>
  <si>
    <t>TOTAL TARDE</t>
  </si>
  <si>
    <t>TOTAL DE GASTOS</t>
  </si>
  <si>
    <t>GASTOS</t>
  </si>
  <si>
    <t>E. TOTAL M+T</t>
  </si>
  <si>
    <t>EFECTIVO MAÑANA</t>
  </si>
  <si>
    <t>EFECTIVO TARDE</t>
  </si>
  <si>
    <t>RECIBOS</t>
  </si>
  <si>
    <t>BOLETAS</t>
  </si>
  <si>
    <t>N° CONSULTAS</t>
  </si>
  <si>
    <t>TOTAL DEL DIA</t>
  </si>
  <si>
    <t>INDICADORES DIARIOS DENTAL SOCIAL</t>
  </si>
  <si>
    <t>N° Px. CAPTADOS</t>
  </si>
  <si>
    <t>N° Px. CITADOS</t>
  </si>
  <si>
    <t>N° Px. ASISTIERON A SU CITA</t>
  </si>
  <si>
    <t xml:space="preserve">RADIOGRAFIAS INDICADAS </t>
  </si>
  <si>
    <t xml:space="preserve">PRODUCCION </t>
  </si>
  <si>
    <t>CALLAO</t>
  </si>
  <si>
    <t xml:space="preserve"> FECHA: </t>
  </si>
  <si>
    <t>FECHA: 01-10-2019</t>
  </si>
  <si>
    <t xml:space="preserve"> FECHA:  01-10-2019 CALLAO</t>
  </si>
  <si>
    <t>FECHA: 02-10-2019</t>
  </si>
  <si>
    <t xml:space="preserve"> FECHA:  02-10-2019 CALLAO</t>
  </si>
  <si>
    <t>FECHA: 03-10-2019</t>
  </si>
  <si>
    <t xml:space="preserve"> FECHA: 03-10-2019</t>
  </si>
  <si>
    <t>FECHA: 04-10-2019</t>
  </si>
  <si>
    <t xml:space="preserve"> FECHA: 04-10-2019 CALLAO</t>
  </si>
  <si>
    <t>FECHA: 05-10-2019</t>
  </si>
  <si>
    <t xml:space="preserve"> FECHA: 05-10-2019 CALLAO</t>
  </si>
  <si>
    <t>FECHA:  07-10-2019</t>
  </si>
  <si>
    <t xml:space="preserve"> FECHA: 07/10/2019 CALLAO</t>
  </si>
  <si>
    <t>FECHA: 09-10-2019</t>
  </si>
  <si>
    <t xml:space="preserve"> FECHA: 09-10-2019 CALLAO</t>
  </si>
  <si>
    <t>FECHA: 10-10-2019</t>
  </si>
  <si>
    <t xml:space="preserve"> FECHA:  10/10/2019 CALLAO</t>
  </si>
  <si>
    <t>FECHA: 11-10-2019</t>
  </si>
  <si>
    <t xml:space="preserve"> FECHA: 11-10-2019 CALLAO</t>
  </si>
  <si>
    <t>FECHA:  12-10-2019</t>
  </si>
  <si>
    <t xml:space="preserve"> FECHA: 12-10-2019 CALLAO</t>
  </si>
  <si>
    <t>FECHA: 14-10-2019</t>
  </si>
  <si>
    <t xml:space="preserve"> FECHA: 14-10-2019</t>
  </si>
  <si>
    <t>FECHA: 15-10-2019</t>
  </si>
  <si>
    <t xml:space="preserve"> FECHA: 15-10-2019 CALLAO</t>
  </si>
  <si>
    <t>FECHA: 16-10-2019</t>
  </si>
  <si>
    <t xml:space="preserve"> FECHA: 16-10-2019 CALLAO</t>
  </si>
  <si>
    <t>FECHA:  17-10-2019</t>
  </si>
  <si>
    <t xml:space="preserve"> FECHA: 17-10-2019 CALLAO</t>
  </si>
  <si>
    <t>FECHA: 18-10-2019</t>
  </si>
  <si>
    <t xml:space="preserve"> FECHA: 18-10-2019 CALLAO</t>
  </si>
  <si>
    <t>FECHA:  22-10-2019</t>
  </si>
  <si>
    <t>FECHA: 21-10-2019</t>
  </si>
  <si>
    <t xml:space="preserve"> FECHA:  21-10-2019 CALLAO</t>
  </si>
  <si>
    <t xml:space="preserve"> FECHA: 22-10-2019 CALLAO</t>
  </si>
  <si>
    <t>FECHA: 23-10-2019</t>
  </si>
  <si>
    <t xml:space="preserve"> </t>
  </si>
  <si>
    <t xml:space="preserve"> FECHA: 23-10-2019 CALLAO</t>
  </si>
  <si>
    <t>FECHA: 24-10-2019</t>
  </si>
  <si>
    <t xml:space="preserve"> FECHA: 24-10-2019 CALLAO</t>
  </si>
  <si>
    <t>FECHA:  25-10-2019</t>
  </si>
  <si>
    <t xml:space="preserve"> FECHA: 25-10-2019 CALLAO</t>
  </si>
  <si>
    <t>FECHA: 26-10-2019</t>
  </si>
  <si>
    <t xml:space="preserve"> FECHA: 26-10-2019 CALLAO</t>
  </si>
  <si>
    <t>FECHA: 28-10- 2019</t>
  </si>
  <si>
    <t xml:space="preserve"> FECHA: 28-10-2019</t>
  </si>
  <si>
    <t>FECHA:  29-10-2019</t>
  </si>
  <si>
    <t xml:space="preserve"> FECHA: 29-10-2019 CALLAO</t>
  </si>
  <si>
    <t>DESCUENTOS POR TARJETA 6%</t>
  </si>
  <si>
    <t>PETRA</t>
  </si>
  <si>
    <t>RAMON</t>
  </si>
  <si>
    <t>MARIA</t>
  </si>
  <si>
    <t>maria</t>
  </si>
  <si>
    <t>petra</t>
  </si>
  <si>
    <t>ramon</t>
  </si>
  <si>
    <t xml:space="preserve">Maria </t>
  </si>
  <si>
    <t xml:space="preserve">ramon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</si>
</sst>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S/.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Arial"/>
      <family val="2"/>
    </font>
    <font>
      <b/>
      <sz val="8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7" xfId="0" applyBorder="1" applyAlignment="1"/>
    <xf numFmtId="0" fontId="0" fillId="0" borderId="6" xfId="0" applyBorder="1" applyAlignment="1"/>
    <xf numFmtId="0" fontId="4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9" fontId="4" fillId="2" borderId="1" xfId="0" applyNumberFormat="1" applyFont="1" applyFill="1" applyBorder="1" applyAlignment="1">
      <alignment horizontal="center"/>
    </xf>
    <xf numFmtId="164" fontId="4" fillId="2" borderId="1" xfId="0" applyNumberFormat="1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NumberFormat="1" applyFont="1" applyFill="1" applyBorder="1" applyAlignment="1">
      <alignment horizontal="center"/>
    </xf>
    <xf numFmtId="0" fontId="4" fillId="6" borderId="7" xfId="0" applyFont="1" applyFill="1" applyBorder="1" applyAlignment="1"/>
    <xf numFmtId="0" fontId="4" fillId="6" borderId="6" xfId="0" applyFont="1" applyFill="1" applyBorder="1" applyAlignment="1"/>
    <xf numFmtId="0" fontId="4" fillId="0" borderId="1" xfId="0" applyFont="1" applyFill="1" applyBorder="1" applyAlignment="1">
      <alignment horizontal="center"/>
    </xf>
    <xf numFmtId="0" fontId="5" fillId="7" borderId="7" xfId="0" applyFont="1" applyFill="1" applyBorder="1" applyAlignment="1"/>
    <xf numFmtId="0" fontId="5" fillId="7" borderId="6" xfId="0" applyFont="1" applyFill="1" applyBorder="1" applyAlignment="1"/>
    <xf numFmtId="0" fontId="1" fillId="8" borderId="1" xfId="0" applyFont="1" applyFill="1" applyBorder="1"/>
    <xf numFmtId="0" fontId="0" fillId="0" borderId="0" xfId="0" applyNumberFormat="1" applyFill="1" applyBorder="1"/>
    <xf numFmtId="0" fontId="0" fillId="0" borderId="0" xfId="0" applyFill="1" applyBorder="1"/>
    <xf numFmtId="0" fontId="0" fillId="5" borderId="7" xfId="0" applyNumberFormat="1" applyFill="1" applyBorder="1" applyAlignment="1"/>
    <xf numFmtId="0" fontId="0" fillId="5" borderId="6" xfId="0" applyNumberFormat="1" applyFill="1" applyBorder="1" applyAlignment="1"/>
    <xf numFmtId="0" fontId="0" fillId="5" borderId="7" xfId="0" applyFill="1" applyBorder="1" applyAlignment="1"/>
    <xf numFmtId="0" fontId="0" fillId="5" borderId="6" xfId="0" applyFill="1" applyBorder="1" applyAlignment="1"/>
    <xf numFmtId="1" fontId="0" fillId="0" borderId="1" xfId="0" applyNumberFormat="1" applyBorder="1"/>
    <xf numFmtId="0" fontId="0" fillId="5" borderId="2" xfId="0" applyFill="1" applyBorder="1" applyAlignment="1"/>
    <xf numFmtId="0" fontId="0" fillId="5" borderId="9" xfId="0" applyFill="1" applyBorder="1" applyAlignment="1"/>
    <xf numFmtId="0" fontId="0" fillId="0" borderId="7" xfId="0" applyNumberFormat="1" applyBorder="1" applyAlignment="1"/>
    <xf numFmtId="0" fontId="0" fillId="0" borderId="3" xfId="0" applyNumberFormat="1" applyBorder="1" applyAlignment="1"/>
    <xf numFmtId="0" fontId="0" fillId="0" borderId="2" xfId="0" applyBorder="1"/>
    <xf numFmtId="0" fontId="0" fillId="0" borderId="3" xfId="0" applyBorder="1" applyAlignment="1"/>
    <xf numFmtId="0" fontId="0" fillId="5" borderId="10" xfId="0" applyFill="1" applyBorder="1" applyAlignment="1"/>
    <xf numFmtId="0" fontId="1" fillId="0" borderId="0" xfId="0" applyFont="1" applyFill="1" applyBorder="1"/>
    <xf numFmtId="0" fontId="0" fillId="6" borderId="7" xfId="0" applyFill="1" applyBorder="1"/>
    <xf numFmtId="0" fontId="0" fillId="0" borderId="11" xfId="0" applyBorder="1"/>
    <xf numFmtId="0" fontId="3" fillId="7" borderId="12" xfId="0" applyFont="1" applyFill="1" applyBorder="1"/>
    <xf numFmtId="0" fontId="0" fillId="8" borderId="11" xfId="0" applyFill="1" applyBorder="1"/>
    <xf numFmtId="0" fontId="0" fillId="5" borderId="8" xfId="0" applyFill="1" applyBorder="1" applyAlignment="1"/>
    <xf numFmtId="0" fontId="0" fillId="5" borderId="5" xfId="0" applyFill="1" applyBorder="1" applyAlignment="1"/>
    <xf numFmtId="0" fontId="0" fillId="0" borderId="13" xfId="0" applyBorder="1"/>
    <xf numFmtId="0" fontId="0" fillId="5" borderId="14" xfId="0" applyFill="1" applyBorder="1" applyAlignment="1"/>
    <xf numFmtId="0" fontId="0" fillId="5" borderId="12" xfId="0" applyFill="1" applyBorder="1" applyAlignment="1"/>
    <xf numFmtId="0" fontId="0" fillId="5" borderId="15" xfId="0" applyFill="1" applyBorder="1" applyAlignment="1"/>
    <xf numFmtId="0" fontId="0" fillId="5" borderId="3" xfId="0" applyFill="1" applyBorder="1" applyAlignment="1"/>
    <xf numFmtId="0" fontId="1" fillId="0" borderId="1" xfId="0" applyFont="1" applyBorder="1"/>
    <xf numFmtId="0" fontId="1" fillId="4" borderId="7" xfId="0" applyFont="1" applyFill="1" applyBorder="1" applyAlignment="1"/>
    <xf numFmtId="0" fontId="1" fillId="4" borderId="12" xfId="0" applyFont="1" applyFill="1" applyBorder="1" applyAlignment="1"/>
    <xf numFmtId="0" fontId="0" fillId="5" borderId="16" xfId="0" applyFill="1" applyBorder="1" applyAlignment="1"/>
    <xf numFmtId="0" fontId="0" fillId="5" borderId="17" xfId="0" applyFill="1" applyBorder="1" applyAlignment="1"/>
    <xf numFmtId="0" fontId="0" fillId="4" borderId="12" xfId="0" applyFill="1" applyBorder="1" applyAlignment="1"/>
    <xf numFmtId="0" fontId="1" fillId="9" borderId="18" xfId="0" applyFont="1" applyFill="1" applyBorder="1"/>
    <xf numFmtId="0" fontId="0" fillId="0" borderId="16" xfId="0" applyBorder="1"/>
    <xf numFmtId="0" fontId="0" fillId="0" borderId="19" xfId="0" applyBorder="1"/>
    <xf numFmtId="0" fontId="0" fillId="0" borderId="11" xfId="0" applyFill="1" applyBorder="1"/>
    <xf numFmtId="0" fontId="0" fillId="0" borderId="9" xfId="0" applyFill="1" applyBorder="1"/>
    <xf numFmtId="0" fontId="0" fillId="6" borderId="7" xfId="0" applyFill="1" applyBorder="1" applyAlignment="1"/>
    <xf numFmtId="0" fontId="0" fillId="6" borderId="12" xfId="0" applyFill="1" applyBorder="1" applyAlignment="1"/>
    <xf numFmtId="0" fontId="0" fillId="0" borderId="16" xfId="0" applyBorder="1" applyAlignment="1"/>
    <xf numFmtId="0" fontId="0" fillId="0" borderId="17" xfId="0" applyBorder="1" applyAlignment="1"/>
    <xf numFmtId="0" fontId="3" fillId="7" borderId="12" xfId="0" applyFont="1" applyFill="1" applyBorder="1" applyAlignment="1"/>
    <xf numFmtId="0" fontId="0" fillId="0" borderId="4" xfId="0" applyBorder="1" applyAlignment="1"/>
    <xf numFmtId="0" fontId="0" fillId="0" borderId="5" xfId="0" applyBorder="1" applyAlignment="1"/>
    <xf numFmtId="0" fontId="0" fillId="0" borderId="20" xfId="0" applyBorder="1" applyAlignment="1"/>
    <xf numFmtId="0" fontId="0" fillId="0" borderId="13" xfId="0" applyBorder="1" applyAlignment="1"/>
    <xf numFmtId="0" fontId="1" fillId="0" borderId="16" xfId="0" applyFont="1" applyBorder="1"/>
    <xf numFmtId="0" fontId="0" fillId="0" borderId="21" xfId="0" applyFill="1" applyBorder="1"/>
    <xf numFmtId="0" fontId="0" fillId="0" borderId="23" xfId="0" applyBorder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26" xfId="0" applyBorder="1"/>
    <xf numFmtId="0" fontId="0" fillId="0" borderId="28" xfId="0" applyBorder="1"/>
    <xf numFmtId="0" fontId="0" fillId="0" borderId="29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8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9" xfId="0" applyBorder="1"/>
    <xf numFmtId="0" fontId="0" fillId="0" borderId="38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14" fontId="0" fillId="0" borderId="0" xfId="0" applyNumberFormat="1"/>
    <xf numFmtId="0" fontId="7" fillId="0" borderId="30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1" fontId="0" fillId="0" borderId="11" xfId="0" applyNumberFormat="1" applyBorder="1"/>
    <xf numFmtId="0" fontId="8" fillId="0" borderId="0" xfId="0" applyFont="1"/>
    <xf numFmtId="0" fontId="8" fillId="0" borderId="13" xfId="0" applyFont="1" applyBorder="1"/>
    <xf numFmtId="0" fontId="8" fillId="0" borderId="22" xfId="0" applyFont="1" applyBorder="1"/>
    <xf numFmtId="0" fontId="8" fillId="0" borderId="24" xfId="0" applyFont="1" applyBorder="1"/>
    <xf numFmtId="0" fontId="8" fillId="0" borderId="25" xfId="0" applyFont="1" applyBorder="1"/>
    <xf numFmtId="0" fontId="8" fillId="0" borderId="26" xfId="0" applyFont="1" applyBorder="1"/>
    <xf numFmtId="0" fontId="8" fillId="0" borderId="28" xfId="0" applyFont="1" applyBorder="1"/>
    <xf numFmtId="0" fontId="8" fillId="0" borderId="29" xfId="0" applyFont="1" applyBorder="1"/>
    <xf numFmtId="0" fontId="8" fillId="0" borderId="0" xfId="0" applyFont="1" applyFill="1" applyBorder="1"/>
    <xf numFmtId="0" fontId="0" fillId="0" borderId="2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42" xfId="0" applyFont="1" applyBorder="1" applyAlignment="1">
      <alignment horizontal="left" vertical="center"/>
    </xf>
    <xf numFmtId="0" fontId="1" fillId="0" borderId="43" xfId="0" applyFont="1" applyBorder="1" applyAlignment="1">
      <alignment horizontal="left" vertical="center"/>
    </xf>
    <xf numFmtId="0" fontId="1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8" fillId="0" borderId="22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8" fillId="0" borderId="22" xfId="0" applyFont="1" applyBorder="1" applyAlignment="1">
      <alignment horizontal="center"/>
    </xf>
    <xf numFmtId="0" fontId="8" fillId="0" borderId="2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13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180975</xdr:rowOff>
        </xdr:from>
        <xdr:to>
          <xdr:col>8</xdr:col>
          <xdr:colOff>666750</xdr:colOff>
          <xdr:row>21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19</xdr:row>
          <xdr:rowOff>180975</xdr:rowOff>
        </xdr:from>
        <xdr:to>
          <xdr:col>8</xdr:col>
          <xdr:colOff>666750</xdr:colOff>
          <xdr:row>21</xdr:row>
          <xdr:rowOff>66675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790575</xdr:colOff>
      <xdr:row>19</xdr:row>
      <xdr:rowOff>180975</xdr:rowOff>
    </xdr:from>
    <xdr:to>
      <xdr:col>9</xdr:col>
      <xdr:colOff>57150</xdr:colOff>
      <xdr:row>22</xdr:row>
      <xdr:rowOff>0</xdr:rowOff>
    </xdr:to>
    <xdr:sp macro="[0]!sumarValores" textlink="">
      <xdr:nvSpPr>
        <xdr:cNvPr id="3" name="Rectángulo redondeado 2"/>
        <xdr:cNvSpPr/>
      </xdr:nvSpPr>
      <xdr:spPr>
        <a:xfrm>
          <a:off x="1552575" y="4191000"/>
          <a:ext cx="5743575" cy="3905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Calcular</a:t>
          </a:r>
          <a:r>
            <a:rPr lang="en-US" sz="1800" baseline="0"/>
            <a:t> resumen mensual</a:t>
          </a:r>
          <a:endParaRPr lang="en-US" sz="1800"/>
        </a:p>
      </xdr:txBody>
    </xdr:sp>
    <xdr:clientData/>
  </xdr:twoCellAnchor>
  <xdr:twoCellAnchor>
    <xdr:from>
      <xdr:col>1</xdr:col>
      <xdr:colOff>800100</xdr:colOff>
      <xdr:row>23</xdr:row>
      <xdr:rowOff>19050</xdr:rowOff>
    </xdr:from>
    <xdr:to>
      <xdr:col>9</xdr:col>
      <xdr:colOff>66675</xdr:colOff>
      <xdr:row>25</xdr:row>
      <xdr:rowOff>28575</xdr:rowOff>
    </xdr:to>
    <xdr:sp macro="[0]!limpiarResumenMensual" textlink="">
      <xdr:nvSpPr>
        <xdr:cNvPr id="6" name="Rectángulo redondeado 5"/>
        <xdr:cNvSpPr/>
      </xdr:nvSpPr>
      <xdr:spPr>
        <a:xfrm>
          <a:off x="1562100" y="4791075"/>
          <a:ext cx="5743575" cy="3905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Borrar</a:t>
          </a:r>
          <a:r>
            <a:rPr lang="en-US" sz="1800" baseline="0"/>
            <a:t> resumen mensual</a:t>
          </a:r>
          <a:endParaRPr lang="en-US" sz="1800"/>
        </a:p>
      </xdr:txBody>
    </xdr:sp>
    <xdr:clientData/>
  </xdr:twoCellAnchor>
  <xdr:twoCellAnchor>
    <xdr:from>
      <xdr:col>1</xdr:col>
      <xdr:colOff>781050</xdr:colOff>
      <xdr:row>26</xdr:row>
      <xdr:rowOff>57150</xdr:rowOff>
    </xdr:from>
    <xdr:to>
      <xdr:col>9</xdr:col>
      <xdr:colOff>47625</xdr:colOff>
      <xdr:row>28</xdr:row>
      <xdr:rowOff>66675</xdr:rowOff>
    </xdr:to>
    <xdr:sp macro="[0]!Confirmar" textlink="">
      <xdr:nvSpPr>
        <xdr:cNvPr id="7" name="Rectángulo redondeado 6"/>
        <xdr:cNvSpPr/>
      </xdr:nvSpPr>
      <xdr:spPr>
        <a:xfrm>
          <a:off x="1543050" y="5400675"/>
          <a:ext cx="5743575" cy="3905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Reiniciar Libro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53"/>
  <sheetViews>
    <sheetView topLeftCell="G25" workbookViewId="0">
      <selection activeCell="K34" sqref="K34"/>
    </sheetView>
  </sheetViews>
  <sheetFormatPr baseColWidth="10" defaultRowHeight="15" x14ac:dyDescent="0.25"/>
  <cols>
    <col min="1" max="1" width="3" customWidth="1"/>
    <col min="2" max="2" width="17.85546875" customWidth="1"/>
    <col min="3" max="3" width="19.42578125" customWidth="1"/>
    <col min="4" max="4" width="27.5703125" customWidth="1"/>
    <col min="5" max="5" width="9.42578125" customWidth="1"/>
    <col min="7" max="7" width="13.7109375" bestFit="1" customWidth="1"/>
    <col min="8" max="8" width="6.85546875" bestFit="1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1" spans="1:22" x14ac:dyDescent="0.25">
      <c r="K1" s="92"/>
    </row>
    <row r="2" spans="1:22" ht="21" customHeight="1" x14ac:dyDescent="0.25">
      <c r="B2" t="s">
        <v>38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01-10-2019</v>
      </c>
      <c r="O3" s="86" t="str">
        <f>C2</f>
        <v>CALLAO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39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 t="s">
        <v>88</v>
      </c>
      <c r="O34" s="65" t="s">
        <v>1</v>
      </c>
      <c r="P34" s="94">
        <v>1</v>
      </c>
      <c r="Q34" s="95">
        <v>2</v>
      </c>
      <c r="R34" s="94">
        <v>3</v>
      </c>
      <c r="S34" s="95">
        <v>3</v>
      </c>
      <c r="T34" s="96"/>
      <c r="U34" s="96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97"/>
      <c r="Q35" s="98"/>
      <c r="R35" s="97"/>
      <c r="S35" s="98"/>
      <c r="T35" s="99"/>
      <c r="U35" s="99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 t="s">
        <v>86</v>
      </c>
      <c r="O36" s="65" t="s">
        <v>1</v>
      </c>
      <c r="P36" s="94"/>
      <c r="Q36" s="95"/>
      <c r="R36" s="94"/>
      <c r="S36" s="95"/>
      <c r="T36" s="96"/>
      <c r="U36" s="96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97"/>
      <c r="Q37" s="98"/>
      <c r="R37" s="97"/>
      <c r="S37" s="98"/>
      <c r="T37" s="99"/>
      <c r="U37" s="99"/>
    </row>
    <row r="38" spans="1:21" ht="15.75" thickBot="1" x14ac:dyDescent="0.3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 t="s">
        <v>87</v>
      </c>
      <c r="O38" s="65" t="s">
        <v>1</v>
      </c>
      <c r="P38" s="94"/>
      <c r="Q38" s="95"/>
      <c r="R38" s="94"/>
      <c r="S38" s="95"/>
      <c r="T38" s="96"/>
      <c r="U38" s="96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94"/>
      <c r="Q39" s="95"/>
      <c r="R39" s="94"/>
      <c r="S39" s="95"/>
      <c r="T39" s="96"/>
      <c r="U39" s="96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15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16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1</v>
      </c>
      <c r="Q46" s="84">
        <f t="shared" si="8"/>
        <v>2</v>
      </c>
      <c r="R46" s="84">
        <f>SUM(R34+R36+R38+R40+R42+R44)</f>
        <v>3</v>
      </c>
      <c r="S46" s="84">
        <f t="shared" si="8"/>
        <v>3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1</v>
      </c>
      <c r="Q48" s="38">
        <f t="shared" si="9"/>
        <v>2</v>
      </c>
      <c r="R48" s="38">
        <f t="shared" si="9"/>
        <v>3</v>
      </c>
      <c r="S48" s="38">
        <f t="shared" si="9"/>
        <v>3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  <mergeCell ref="N34:N35"/>
    <mergeCell ref="A3:L3"/>
    <mergeCell ref="K17:L17"/>
    <mergeCell ref="A27:L27"/>
    <mergeCell ref="N31:U31"/>
    <mergeCell ref="N32:U32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9.28515625" customWidth="1"/>
    <col min="4" max="4" width="22.57031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40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02-10-2019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41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 t="s">
        <v>88</v>
      </c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 t="s">
        <v>86</v>
      </c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 t="s">
        <v>87</v>
      </c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0.140625" customWidth="1"/>
    <col min="4" max="4" width="25.42578125" customWidth="1"/>
    <col min="5" max="5" width="11.710937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42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03-10-2019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43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 t="s">
        <v>92</v>
      </c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9.85546875" customWidth="1"/>
    <col min="4" max="4" width="28.7109375" customWidth="1"/>
    <col min="5" max="5" width="9.28515625" customWidth="1"/>
    <col min="7" max="7" width="13.5703125" customWidth="1"/>
    <col min="8" max="8" width="10.5703125" customWidth="1"/>
    <col min="9" max="9" width="8.42578125" customWidth="1"/>
    <col min="10" max="10" width="4" customWidth="1"/>
    <col min="11" max="11" width="19.42578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44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04-10-2019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"/>
      <c r="O6" s="20"/>
      <c r="P6" s="1">
        <f t="shared" si="0"/>
        <v>0</v>
      </c>
      <c r="Q6" s="1">
        <f t="shared" si="1"/>
        <v>0</v>
      </c>
      <c r="R6" s="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45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ht="15.75" thickBot="1" x14ac:dyDescent="0.3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66"/>
      <c r="Q39" s="67"/>
      <c r="R39" s="66"/>
      <c r="S39" s="67"/>
      <c r="T39" s="68"/>
      <c r="U39" s="68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9.7109375" customWidth="1"/>
    <col min="4" max="4" width="26.28515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46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05-10-2019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47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 t="s">
        <v>88</v>
      </c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 t="s">
        <v>86</v>
      </c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 t="s">
        <v>87</v>
      </c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 xml:space="preserve">FECHA: 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9.5703125" customWidth="1"/>
    <col min="4" max="4" width="25.425781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48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 07-10-2019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49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/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 xml:space="preserve">FECHA: 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2" customWidth="1"/>
    <col min="4" max="4" width="28.425781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50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09-10-2019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51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8.28515625" customWidth="1"/>
    <col min="3" max="3" width="20.28515625" customWidth="1"/>
    <col min="4" max="4" width="26.425781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52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10-10-2019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91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53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/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1.5703125" customWidth="1"/>
    <col min="4" max="4" width="25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54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11-10-2019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>SUMIF(B29:B47,R5,G29:G47)</f>
        <v>0</v>
      </c>
      <c r="U5" s="1">
        <f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2">E6*0.06</f>
        <v>0</v>
      </c>
      <c r="G6" s="1">
        <f t="shared" ref="G6:G23" si="3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1"/>
      <c r="S6" s="22"/>
      <c r="T6" s="23">
        <f>SUMIF(B30:B47,R5,G29:G47)</f>
        <v>0</v>
      </c>
      <c r="U6" s="1">
        <v>15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2"/>
        <v>0</v>
      </c>
      <c r="G7" s="1">
        <f t="shared" si="3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1"/>
      <c r="S7" s="22"/>
      <c r="T7" s="1">
        <f t="shared" ref="T7:T12" si="4">SUMIF(B31:B49,R7,G31:G49)</f>
        <v>0</v>
      </c>
      <c r="U7" s="1">
        <f t="shared" ref="U7:U12" si="5">SUMIF(B31:B49,R7,I31:I49)</f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2"/>
        <v>0</v>
      </c>
      <c r="G8" s="1">
        <f t="shared" si="3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4"/>
        <v>0</v>
      </c>
      <c r="U8" s="1">
        <f t="shared" si="5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2"/>
        <v>0</v>
      </c>
      <c r="G9" s="1">
        <f t="shared" si="3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>SUMIF(B33:B51,R9,G33:G51)</f>
        <v>0</v>
      </c>
      <c r="U9" s="1">
        <f t="shared" si="5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2"/>
        <v>0</v>
      </c>
      <c r="G10" s="1">
        <f t="shared" si="3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4"/>
        <v>0</v>
      </c>
      <c r="U10" s="1">
        <f t="shared" si="5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2"/>
        <v>0</v>
      </c>
      <c r="G11" s="1">
        <f t="shared" si="3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4"/>
        <v>0</v>
      </c>
      <c r="U11" s="1">
        <f t="shared" si="5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2"/>
        <v>0</v>
      </c>
      <c r="G12" s="1">
        <f t="shared" si="3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4"/>
        <v>0</v>
      </c>
      <c r="U12" s="1">
        <f t="shared" si="5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2"/>
        <v>0</v>
      </c>
      <c r="G13" s="1">
        <f t="shared" si="3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2"/>
        <v>0</v>
      </c>
      <c r="G14" s="1">
        <f t="shared" si="3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15</v>
      </c>
      <c r="T14" s="33">
        <f>SUM(T5:T13)</f>
        <v>0</v>
      </c>
      <c r="U14" s="33">
        <f>SUM(U5:U12)</f>
        <v>15</v>
      </c>
      <c r="V14" s="35">
        <f>O14+S14</f>
        <v>15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2"/>
        <v>0</v>
      </c>
      <c r="G15" s="1">
        <f t="shared" si="3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2"/>
        <v>0</v>
      </c>
      <c r="G16" s="1">
        <f t="shared" si="3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2"/>
        <v>0</v>
      </c>
      <c r="G17" s="1">
        <f t="shared" si="3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2"/>
        <v>0</v>
      </c>
      <c r="G18" s="1">
        <f t="shared" si="3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2"/>
        <v>0</v>
      </c>
      <c r="G19" s="1">
        <f t="shared" si="3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2"/>
        <v>0</v>
      </c>
      <c r="G20" s="1">
        <f t="shared" si="3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2"/>
        <v>0</v>
      </c>
      <c r="G21" s="1">
        <f t="shared" si="3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2"/>
        <v>0</v>
      </c>
      <c r="G22" s="1">
        <f t="shared" si="3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2"/>
        <v>0</v>
      </c>
      <c r="G23" s="1">
        <f t="shared" si="3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15</v>
      </c>
      <c r="V24" s="33">
        <f>Q24+U24</f>
        <v>15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55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/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/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0.42578125" customWidth="1"/>
    <col min="4" max="4" width="24.28515625" customWidth="1"/>
    <col min="7" max="7" width="13.5703125" customWidth="1"/>
    <col min="10" max="10" width="4" customWidth="1"/>
    <col min="11" max="11" width="19.285156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56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 12-10-2019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57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/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/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 xml:space="preserve">FECHA: 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8.42578125" customWidth="1"/>
    <col min="4" max="4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58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14-10-2019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59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19"/>
      <c r="O36" s="65"/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0"/>
      <c r="O37" s="69" t="s">
        <v>8</v>
      </c>
      <c r="P37" s="70"/>
      <c r="Q37" s="71"/>
      <c r="R37" s="70"/>
      <c r="S37" s="71"/>
      <c r="T37" s="72"/>
      <c r="U37" s="72"/>
    </row>
    <row r="38" spans="1:21" ht="15.75" thickTop="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0.42578125" customWidth="1"/>
    <col min="4" max="4" width="19.28515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60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15-10-2019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61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/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1.42578125" customWidth="1"/>
    <col min="4" max="4" width="29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62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16-10-2019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63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8.140625" customWidth="1"/>
    <col min="4" max="4" width="29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64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 17-10-2019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65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/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0.5703125" customWidth="1"/>
    <col min="4" max="4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66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18-10-2019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67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 xml:space="preserve">FECHA: 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 xml:space="preserve">FECHA: 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1.5703125" customWidth="1"/>
    <col min="4" max="4" width="24.425781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69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21-10-2019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70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7.42578125" customWidth="1"/>
    <col min="4" max="4" width="25.57031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68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 22-10-2019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71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/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/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0" customWidth="1"/>
    <col min="4" max="4" width="30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72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23-10-2019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 t="s">
        <v>73</v>
      </c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74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/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3" width="17.85546875" customWidth="1"/>
    <col min="4" max="4" width="22.710937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75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24-10-2019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76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/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2.140625" customWidth="1"/>
    <col min="4" max="4" width="22.28515625" customWidth="1"/>
    <col min="7" max="7" width="13.5703125" customWidth="1"/>
    <col min="10" max="10" width="4" customWidth="1"/>
    <col min="11" max="11" width="20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77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 25-10-2019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"/>
      <c r="O6" s="20"/>
      <c r="P6" s="1">
        <f t="shared" si="0"/>
        <v>0</v>
      </c>
      <c r="Q6" s="1">
        <f t="shared" si="1"/>
        <v>0</v>
      </c>
      <c r="R6" s="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78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5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6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79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26-10-2019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80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/>
      <c r="O34" s="65"/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  <pageSetup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 xml:space="preserve">FECHA: 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8.42578125" customWidth="1"/>
    <col min="4" max="4" width="27.710937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81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28-10- 2019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82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5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6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0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02"/>
      <c r="O37" s="69"/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0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0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0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0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0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0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19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0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19.42578125" customWidth="1"/>
    <col min="4" max="4" width="25.425781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83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>FECHA:  29-10-2019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84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01" t="s">
        <v>93</v>
      </c>
      <c r="O34" s="65"/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0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  <pageSetup paperSize="9" orientation="portrait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 xml:space="preserve">FECHA: 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1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2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V53"/>
  <sheetViews>
    <sheetView workbookViewId="0">
      <selection activeCell="K1" sqref="K1"/>
    </sheetView>
  </sheetViews>
  <sheetFormatPr baseColWidth="10" defaultRowHeight="15" x14ac:dyDescent="0.25"/>
  <cols>
    <col min="1" max="1" width="3" customWidth="1"/>
    <col min="2" max="2" width="17.85546875" customWidth="1"/>
    <col min="3" max="3" width="26.140625" customWidth="1"/>
    <col min="7" max="7" width="13.5703125" customWidth="1"/>
    <col min="10" max="10" width="4" customWidth="1"/>
    <col min="11" max="11" width="17.5703125" customWidth="1"/>
    <col min="13" max="13" width="6" customWidth="1"/>
    <col min="14" max="14" width="19.5703125" customWidth="1"/>
    <col min="15" max="15" width="12.28515625" customWidth="1"/>
    <col min="16" max="16" width="9.85546875" customWidth="1"/>
    <col min="17" max="17" width="10.140625" customWidth="1"/>
    <col min="18" max="18" width="15.42578125" customWidth="1"/>
    <col min="19" max="19" width="13.28515625" customWidth="1"/>
    <col min="22" max="22" width="13" customWidth="1"/>
  </cols>
  <sheetData>
    <row r="2" spans="1:22" ht="21" customHeight="1" x14ac:dyDescent="0.25">
      <c r="B2" t="s">
        <v>9</v>
      </c>
      <c r="C2" s="86" t="s">
        <v>36</v>
      </c>
    </row>
    <row r="3" spans="1:22" ht="15" customHeight="1" x14ac:dyDescent="0.25">
      <c r="A3" s="103" t="s">
        <v>10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N3" s="3" t="str">
        <f>B2</f>
        <v xml:space="preserve">FECHA: </v>
      </c>
      <c r="O3" s="86" t="s">
        <v>36</v>
      </c>
      <c r="P3" s="1"/>
      <c r="Q3" s="1"/>
      <c r="R3" s="3"/>
      <c r="S3" s="4"/>
      <c r="T3" s="1"/>
      <c r="U3" s="1"/>
      <c r="V3" s="1"/>
    </row>
    <row r="4" spans="1:22" ht="15" customHeight="1" x14ac:dyDescent="0.25">
      <c r="A4" s="1" t="s">
        <v>11</v>
      </c>
      <c r="B4" s="5" t="s">
        <v>2</v>
      </c>
      <c r="C4" s="6" t="s">
        <v>12</v>
      </c>
      <c r="D4" s="6"/>
      <c r="E4" s="5" t="s">
        <v>4</v>
      </c>
      <c r="F4" s="7">
        <v>0.06</v>
      </c>
      <c r="G4" s="7" t="s">
        <v>13</v>
      </c>
      <c r="H4" s="5" t="s">
        <v>14</v>
      </c>
      <c r="I4" s="8" t="s">
        <v>3</v>
      </c>
      <c r="K4" s="9"/>
      <c r="L4" s="10"/>
      <c r="N4" s="11" t="s">
        <v>10</v>
      </c>
      <c r="O4" s="12"/>
      <c r="P4" s="13" t="s">
        <v>15</v>
      </c>
      <c r="Q4" s="13" t="s">
        <v>16</v>
      </c>
      <c r="R4" s="14" t="s">
        <v>17</v>
      </c>
      <c r="S4" s="15"/>
      <c r="T4" s="13" t="s">
        <v>15</v>
      </c>
      <c r="U4" s="13" t="s">
        <v>16</v>
      </c>
      <c r="V4" s="16" t="s">
        <v>18</v>
      </c>
    </row>
    <row r="5" spans="1:22" x14ac:dyDescent="0.25">
      <c r="A5" s="1">
        <v>1</v>
      </c>
      <c r="B5" s="1"/>
      <c r="C5" s="1"/>
      <c r="D5" s="1"/>
      <c r="E5" s="1"/>
      <c r="F5" s="1">
        <f>E5*0.06</f>
        <v>0</v>
      </c>
      <c r="G5" s="1">
        <f>E5-F5</f>
        <v>0</v>
      </c>
      <c r="H5" s="1"/>
      <c r="I5" s="1"/>
      <c r="K5" s="17"/>
      <c r="L5" s="18"/>
      <c r="N5" s="19"/>
      <c r="O5" s="20"/>
      <c r="P5" s="1">
        <f t="shared" ref="P5:P12" si="0">SUMIF(B5:B23,N5,G5:G23)</f>
        <v>0</v>
      </c>
      <c r="Q5" s="1">
        <f t="shared" ref="Q5:Q12" si="1">SUMIF(B5:B23,N5,I5:I23)</f>
        <v>0</v>
      </c>
      <c r="R5" s="21"/>
      <c r="S5" s="22"/>
      <c r="T5" s="23">
        <f t="shared" ref="T5:T12" si="2">SUMIF(B29:B47,R5,G29:G47)</f>
        <v>0</v>
      </c>
      <c r="U5" s="1">
        <f t="shared" ref="U5:U12" si="3">SUMIF(B29:B47,R5,I29:I47)</f>
        <v>0</v>
      </c>
      <c r="V5" s="24"/>
    </row>
    <row r="6" spans="1:22" x14ac:dyDescent="0.25">
      <c r="A6" s="1">
        <v>2</v>
      </c>
      <c r="B6" s="1"/>
      <c r="C6" s="1"/>
      <c r="D6" s="1"/>
      <c r="E6" s="1"/>
      <c r="F6" s="1">
        <f t="shared" ref="F6:F23" si="4">E6*0.06</f>
        <v>0</v>
      </c>
      <c r="G6" s="1">
        <f t="shared" ref="G6:G23" si="5">E6-F6</f>
        <v>0</v>
      </c>
      <c r="H6" s="1"/>
      <c r="I6" s="1"/>
      <c r="K6" s="17"/>
      <c r="L6" s="18"/>
      <c r="N6" s="19"/>
      <c r="O6" s="20"/>
      <c r="P6" s="1">
        <f t="shared" si="0"/>
        <v>0</v>
      </c>
      <c r="Q6" s="1">
        <f t="shared" si="1"/>
        <v>0</v>
      </c>
      <c r="R6" s="21"/>
      <c r="S6" s="22"/>
      <c r="T6" s="1">
        <f t="shared" si="2"/>
        <v>0</v>
      </c>
      <c r="U6" s="1">
        <f t="shared" si="3"/>
        <v>0</v>
      </c>
      <c r="V6" s="25"/>
    </row>
    <row r="7" spans="1:22" x14ac:dyDescent="0.25">
      <c r="A7" s="1">
        <v>3</v>
      </c>
      <c r="B7" s="1"/>
      <c r="C7" s="1"/>
      <c r="D7" s="1"/>
      <c r="E7" s="1"/>
      <c r="F7" s="1">
        <f t="shared" si="4"/>
        <v>0</v>
      </c>
      <c r="G7" s="1">
        <f t="shared" si="5"/>
        <v>0</v>
      </c>
      <c r="H7" s="1"/>
      <c r="I7" s="1"/>
      <c r="K7" s="17"/>
      <c r="L7" s="18"/>
      <c r="N7" s="19"/>
      <c r="O7" s="20"/>
      <c r="P7" s="1">
        <f t="shared" si="0"/>
        <v>0</v>
      </c>
      <c r="Q7" s="1">
        <f t="shared" si="1"/>
        <v>0</v>
      </c>
      <c r="R7" s="21"/>
      <c r="S7" s="22"/>
      <c r="T7" s="1">
        <f t="shared" si="2"/>
        <v>0</v>
      </c>
      <c r="U7" s="1">
        <f t="shared" si="3"/>
        <v>0</v>
      </c>
      <c r="V7" s="25"/>
    </row>
    <row r="8" spans="1:22" x14ac:dyDescent="0.25">
      <c r="A8" s="1">
        <v>4</v>
      </c>
      <c r="B8" s="1"/>
      <c r="C8" s="1"/>
      <c r="D8" s="1"/>
      <c r="E8" s="1"/>
      <c r="F8" s="1">
        <f t="shared" si="4"/>
        <v>0</v>
      </c>
      <c r="G8" s="1">
        <f t="shared" si="5"/>
        <v>0</v>
      </c>
      <c r="H8" s="1"/>
      <c r="I8" s="1"/>
      <c r="K8" s="17"/>
      <c r="L8" s="18"/>
      <c r="N8" s="19"/>
      <c r="O8" s="20"/>
      <c r="P8" s="1">
        <f t="shared" si="0"/>
        <v>0</v>
      </c>
      <c r="Q8" s="1">
        <f t="shared" si="1"/>
        <v>0</v>
      </c>
      <c r="R8" s="21"/>
      <c r="S8" s="22"/>
      <c r="T8" s="1">
        <f t="shared" si="2"/>
        <v>0</v>
      </c>
      <c r="U8" s="1">
        <f t="shared" si="3"/>
        <v>0</v>
      </c>
      <c r="V8" s="25"/>
    </row>
    <row r="9" spans="1:22" x14ac:dyDescent="0.25">
      <c r="A9" s="1">
        <v>5</v>
      </c>
      <c r="B9" s="1"/>
      <c r="C9" s="1"/>
      <c r="D9" s="1"/>
      <c r="E9" s="1"/>
      <c r="F9" s="1">
        <f t="shared" si="4"/>
        <v>0</v>
      </c>
      <c r="G9" s="1">
        <f t="shared" si="5"/>
        <v>0</v>
      </c>
      <c r="H9" s="1"/>
      <c r="I9" s="1"/>
      <c r="K9" s="17"/>
      <c r="L9" s="18"/>
      <c r="N9" s="19"/>
      <c r="O9" s="20"/>
      <c r="P9" s="1">
        <f t="shared" si="0"/>
        <v>0</v>
      </c>
      <c r="Q9" s="1">
        <f t="shared" si="1"/>
        <v>0</v>
      </c>
      <c r="R9" s="21"/>
      <c r="S9" s="22"/>
      <c r="T9" s="1">
        <f t="shared" si="2"/>
        <v>0</v>
      </c>
      <c r="U9" s="1">
        <f t="shared" si="3"/>
        <v>0</v>
      </c>
      <c r="V9" s="25"/>
    </row>
    <row r="10" spans="1:22" x14ac:dyDescent="0.25">
      <c r="A10" s="1">
        <v>6</v>
      </c>
      <c r="B10" s="1"/>
      <c r="C10" s="1"/>
      <c r="D10" s="1"/>
      <c r="E10" s="1"/>
      <c r="F10" s="1">
        <f t="shared" si="4"/>
        <v>0</v>
      </c>
      <c r="G10" s="1">
        <f t="shared" si="5"/>
        <v>0</v>
      </c>
      <c r="H10" s="1"/>
      <c r="I10" s="1"/>
      <c r="K10" s="17"/>
      <c r="L10" s="18"/>
      <c r="N10" s="19"/>
      <c r="O10" s="20"/>
      <c r="P10" s="1">
        <f t="shared" si="0"/>
        <v>0</v>
      </c>
      <c r="Q10" s="1">
        <f t="shared" si="1"/>
        <v>0</v>
      </c>
      <c r="R10" s="21"/>
      <c r="S10" s="22"/>
      <c r="T10" s="1">
        <f t="shared" si="2"/>
        <v>0</v>
      </c>
      <c r="U10" s="1">
        <f t="shared" si="3"/>
        <v>0</v>
      </c>
      <c r="V10" s="25"/>
    </row>
    <row r="11" spans="1:22" x14ac:dyDescent="0.25">
      <c r="A11" s="1">
        <v>7</v>
      </c>
      <c r="B11" s="1"/>
      <c r="C11" s="1"/>
      <c r="D11" s="1"/>
      <c r="E11" s="1"/>
      <c r="F11" s="1">
        <f t="shared" si="4"/>
        <v>0</v>
      </c>
      <c r="G11" s="1">
        <f t="shared" si="5"/>
        <v>0</v>
      </c>
      <c r="H11" s="1"/>
      <c r="I11" s="1"/>
      <c r="K11" s="17"/>
      <c r="L11" s="18"/>
      <c r="N11" s="19"/>
      <c r="O11" s="20"/>
      <c r="P11" s="1">
        <f t="shared" si="0"/>
        <v>0</v>
      </c>
      <c r="Q11" s="1">
        <f t="shared" si="1"/>
        <v>0</v>
      </c>
      <c r="R11" s="21"/>
      <c r="S11" s="22"/>
      <c r="T11" s="1">
        <f t="shared" si="2"/>
        <v>0</v>
      </c>
      <c r="U11" s="1">
        <f t="shared" si="3"/>
        <v>0</v>
      </c>
      <c r="V11" s="25"/>
    </row>
    <row r="12" spans="1:22" x14ac:dyDescent="0.25">
      <c r="A12" s="1">
        <v>8</v>
      </c>
      <c r="B12" s="1"/>
      <c r="C12" s="1"/>
      <c r="D12" s="1"/>
      <c r="E12" s="1"/>
      <c r="F12" s="1">
        <f t="shared" si="4"/>
        <v>0</v>
      </c>
      <c r="G12" s="1">
        <f t="shared" si="5"/>
        <v>0</v>
      </c>
      <c r="H12" s="1"/>
      <c r="I12" s="1"/>
      <c r="K12" s="17"/>
      <c r="L12" s="18"/>
      <c r="N12" s="19"/>
      <c r="O12" s="20"/>
      <c r="P12" s="1">
        <f t="shared" si="0"/>
        <v>0</v>
      </c>
      <c r="Q12" s="1">
        <f t="shared" si="1"/>
        <v>0</v>
      </c>
      <c r="R12" s="21"/>
      <c r="S12" s="22"/>
      <c r="T12" s="1">
        <f t="shared" si="2"/>
        <v>0</v>
      </c>
      <c r="U12" s="1">
        <f t="shared" si="3"/>
        <v>0</v>
      </c>
      <c r="V12" s="25"/>
    </row>
    <row r="13" spans="1:22" ht="15.75" thickBot="1" x14ac:dyDescent="0.3">
      <c r="A13" s="1">
        <v>9</v>
      </c>
      <c r="B13" s="1"/>
      <c r="C13" s="1"/>
      <c r="D13" s="1"/>
      <c r="E13" s="1"/>
      <c r="F13" s="1">
        <f t="shared" si="4"/>
        <v>0</v>
      </c>
      <c r="G13" s="1">
        <f t="shared" si="5"/>
        <v>0</v>
      </c>
      <c r="H13" s="1"/>
      <c r="I13" s="1"/>
      <c r="K13" s="18"/>
      <c r="L13" s="18"/>
      <c r="N13" s="26" t="str">
        <f>B24</f>
        <v>POS 6%</v>
      </c>
      <c r="O13" s="27"/>
      <c r="P13" s="1">
        <f>F24</f>
        <v>0</v>
      </c>
      <c r="Q13" s="28"/>
      <c r="R13" s="3" t="s">
        <v>7</v>
      </c>
      <c r="S13" s="29"/>
      <c r="T13" s="28">
        <f>F48</f>
        <v>0</v>
      </c>
      <c r="U13" s="28"/>
      <c r="V13" s="30"/>
    </row>
    <row r="14" spans="1:22" ht="15.75" thickBot="1" x14ac:dyDescent="0.3">
      <c r="A14" s="1">
        <v>10</v>
      </c>
      <c r="B14" s="1"/>
      <c r="C14" s="1"/>
      <c r="D14" s="1"/>
      <c r="E14" s="1"/>
      <c r="F14" s="1">
        <f t="shared" si="4"/>
        <v>0</v>
      </c>
      <c r="G14" s="1">
        <f t="shared" si="5"/>
        <v>0</v>
      </c>
      <c r="H14" s="1"/>
      <c r="I14" s="1"/>
      <c r="K14" s="31"/>
      <c r="L14" s="18"/>
      <c r="N14" s="32" t="s">
        <v>19</v>
      </c>
      <c r="O14" s="33">
        <f>Q14+P14</f>
        <v>0</v>
      </c>
      <c r="P14" s="33">
        <f>SUM(P5:P13)</f>
        <v>0</v>
      </c>
      <c r="Q14" s="33">
        <f>SUM(Q5:Q12)</f>
        <v>0</v>
      </c>
      <c r="R14" s="34" t="s">
        <v>20</v>
      </c>
      <c r="S14" s="33">
        <f>U14+T14</f>
        <v>0</v>
      </c>
      <c r="T14" s="33">
        <f>SUM(T5:T13)</f>
        <v>0</v>
      </c>
      <c r="U14" s="33">
        <f>SUM(U5:U12)</f>
        <v>0</v>
      </c>
      <c r="V14" s="35">
        <f>O14+S14</f>
        <v>0</v>
      </c>
    </row>
    <row r="15" spans="1:22" x14ac:dyDescent="0.25">
      <c r="A15" s="1">
        <v>11</v>
      </c>
      <c r="B15" s="1"/>
      <c r="C15" s="1"/>
      <c r="D15" s="1"/>
      <c r="E15" s="1"/>
      <c r="F15" s="1">
        <f t="shared" si="4"/>
        <v>0</v>
      </c>
      <c r="G15" s="1">
        <f t="shared" si="5"/>
        <v>0</v>
      </c>
      <c r="H15" s="1"/>
      <c r="I15" s="1"/>
      <c r="N15" s="21">
        <f>K18</f>
        <v>0</v>
      </c>
      <c r="O15" s="36"/>
      <c r="P15" s="37"/>
      <c r="Q15" s="38">
        <f>L18</f>
        <v>0</v>
      </c>
      <c r="R15" s="3">
        <f>K42</f>
        <v>0</v>
      </c>
      <c r="S15" s="36"/>
      <c r="T15" s="37"/>
      <c r="U15" s="38">
        <f>L42</f>
        <v>0</v>
      </c>
      <c r="V15" s="39"/>
    </row>
    <row r="16" spans="1:22" ht="15" customHeight="1" x14ac:dyDescent="0.25">
      <c r="A16" s="1">
        <v>12</v>
      </c>
      <c r="B16" s="1"/>
      <c r="C16" s="1"/>
      <c r="D16" s="1"/>
      <c r="E16" s="1"/>
      <c r="F16" s="1">
        <f t="shared" si="4"/>
        <v>0</v>
      </c>
      <c r="G16" s="1">
        <f t="shared" si="5"/>
        <v>0</v>
      </c>
      <c r="H16" s="1"/>
      <c r="I16" s="1"/>
      <c r="N16" s="21">
        <f>K19</f>
        <v>0</v>
      </c>
      <c r="O16" s="40"/>
      <c r="P16" s="22"/>
      <c r="Q16" s="38">
        <f>L19</f>
        <v>0</v>
      </c>
      <c r="R16" s="3">
        <f>K43</f>
        <v>0</v>
      </c>
      <c r="S16" s="40"/>
      <c r="T16" s="22"/>
      <c r="U16" s="1">
        <f>L43</f>
        <v>0</v>
      </c>
      <c r="V16" s="41"/>
    </row>
    <row r="17" spans="1:22" ht="15" customHeight="1" x14ac:dyDescent="0.25">
      <c r="A17" s="1">
        <v>13</v>
      </c>
      <c r="B17" s="1"/>
      <c r="C17" s="1"/>
      <c r="D17" s="1"/>
      <c r="E17" s="1"/>
      <c r="F17" s="1">
        <f t="shared" si="4"/>
        <v>0</v>
      </c>
      <c r="G17" s="1">
        <f t="shared" si="5"/>
        <v>0</v>
      </c>
      <c r="H17" s="1"/>
      <c r="I17" s="1"/>
      <c r="K17" s="104" t="s">
        <v>5</v>
      </c>
      <c r="L17" s="105"/>
      <c r="N17" s="21">
        <f>K20</f>
        <v>0</v>
      </c>
      <c r="O17" s="40"/>
      <c r="P17" s="22"/>
      <c r="Q17" s="38">
        <f>L20</f>
        <v>0</v>
      </c>
      <c r="R17" s="3">
        <f>K44</f>
        <v>0</v>
      </c>
      <c r="S17" s="40"/>
      <c r="T17" s="22"/>
      <c r="U17" s="1">
        <f>L44</f>
        <v>0</v>
      </c>
      <c r="V17" s="41"/>
    </row>
    <row r="18" spans="1:22" x14ac:dyDescent="0.25">
      <c r="A18" s="1">
        <v>14</v>
      </c>
      <c r="B18" s="1"/>
      <c r="C18" s="1"/>
      <c r="D18" s="1"/>
      <c r="E18" s="1"/>
      <c r="F18" s="1">
        <f t="shared" si="4"/>
        <v>0</v>
      </c>
      <c r="G18" s="1">
        <f t="shared" si="5"/>
        <v>0</v>
      </c>
      <c r="H18" s="1"/>
      <c r="I18" s="1"/>
      <c r="K18" s="1"/>
      <c r="L18" s="1"/>
      <c r="N18" s="21">
        <f>K21</f>
        <v>0</v>
      </c>
      <c r="O18" s="40"/>
      <c r="P18" s="22"/>
      <c r="Q18" s="38">
        <f>L21</f>
        <v>0</v>
      </c>
      <c r="R18" s="3">
        <f>K45</f>
        <v>0</v>
      </c>
      <c r="S18" s="40"/>
      <c r="T18" s="22"/>
      <c r="U18" s="1">
        <f>L45</f>
        <v>0</v>
      </c>
      <c r="V18" s="41"/>
    </row>
    <row r="19" spans="1:22" ht="15" customHeight="1" x14ac:dyDescent="0.25">
      <c r="A19" s="1">
        <v>15</v>
      </c>
      <c r="B19" s="1"/>
      <c r="C19" s="1"/>
      <c r="D19" s="1"/>
      <c r="E19" s="1"/>
      <c r="F19" s="1">
        <f t="shared" si="4"/>
        <v>0</v>
      </c>
      <c r="G19" s="1">
        <f t="shared" si="5"/>
        <v>0</v>
      </c>
      <c r="H19" s="1"/>
      <c r="I19" s="1"/>
      <c r="K19" s="1"/>
      <c r="L19" s="1"/>
      <c r="N19" s="21">
        <f>K22</f>
        <v>0</v>
      </c>
      <c r="O19" s="40"/>
      <c r="P19" s="22"/>
      <c r="Q19" s="38">
        <f>L22</f>
        <v>0</v>
      </c>
      <c r="R19" s="3">
        <f>K46</f>
        <v>0</v>
      </c>
      <c r="S19" s="40"/>
      <c r="T19" s="22"/>
      <c r="U19" s="1">
        <f>L46</f>
        <v>0</v>
      </c>
      <c r="V19" s="41"/>
    </row>
    <row r="20" spans="1:22" ht="15" customHeight="1" x14ac:dyDescent="0.25">
      <c r="A20" s="1">
        <v>16</v>
      </c>
      <c r="B20" s="1"/>
      <c r="C20" s="1"/>
      <c r="D20" s="1"/>
      <c r="E20" s="1"/>
      <c r="F20" s="1">
        <f t="shared" si="4"/>
        <v>0</v>
      </c>
      <c r="G20" s="1">
        <f t="shared" si="5"/>
        <v>0</v>
      </c>
      <c r="H20" s="1"/>
      <c r="I20" s="1"/>
      <c r="K20" s="1"/>
      <c r="L20" s="1"/>
      <c r="N20" s="21"/>
      <c r="O20" s="40"/>
      <c r="P20" s="22"/>
      <c r="Q20" s="1"/>
      <c r="R20" s="3"/>
      <c r="S20" s="40"/>
      <c r="T20" s="22"/>
      <c r="U20" s="1"/>
      <c r="V20" s="41"/>
    </row>
    <row r="21" spans="1:22" ht="15" customHeight="1" x14ac:dyDescent="0.25">
      <c r="A21" s="1">
        <v>18</v>
      </c>
      <c r="B21" s="1"/>
      <c r="C21" s="1"/>
      <c r="D21" s="1"/>
      <c r="E21" s="1"/>
      <c r="F21" s="1">
        <f t="shared" si="4"/>
        <v>0</v>
      </c>
      <c r="G21" s="1">
        <f t="shared" si="5"/>
        <v>0</v>
      </c>
      <c r="H21" s="1"/>
      <c r="I21" s="1"/>
      <c r="K21" s="1"/>
      <c r="L21" s="1"/>
      <c r="N21" s="21"/>
      <c r="O21" s="40"/>
      <c r="P21" s="22"/>
      <c r="Q21" s="1"/>
      <c r="R21" s="3"/>
      <c r="S21" s="40"/>
      <c r="T21" s="22"/>
      <c r="U21" s="1"/>
      <c r="V21" s="41"/>
    </row>
    <row r="22" spans="1:22" ht="15" customHeight="1" thickBot="1" x14ac:dyDescent="0.3">
      <c r="A22" s="1">
        <v>19</v>
      </c>
      <c r="B22" s="1"/>
      <c r="C22" s="1"/>
      <c r="D22" s="1"/>
      <c r="E22" s="1"/>
      <c r="F22" s="1">
        <f t="shared" si="4"/>
        <v>0</v>
      </c>
      <c r="G22" s="1">
        <f t="shared" si="5"/>
        <v>0</v>
      </c>
      <c r="H22" s="1"/>
      <c r="I22" s="1"/>
      <c r="K22" s="1"/>
      <c r="L22" s="1"/>
      <c r="N22" s="21"/>
      <c r="O22" s="40"/>
      <c r="P22" s="42"/>
      <c r="Q22" s="28"/>
      <c r="R22" s="3"/>
      <c r="S22" s="40"/>
      <c r="T22" s="22"/>
      <c r="U22" s="28"/>
      <c r="V22" s="41"/>
    </row>
    <row r="23" spans="1:22" ht="15.75" thickBot="1" x14ac:dyDescent="0.3">
      <c r="A23" s="1">
        <v>20</v>
      </c>
      <c r="B23" s="1"/>
      <c r="C23" s="28"/>
      <c r="D23" s="28"/>
      <c r="E23" s="28"/>
      <c r="F23" s="28">
        <f t="shared" si="4"/>
        <v>0</v>
      </c>
      <c r="G23" s="1">
        <f t="shared" si="5"/>
        <v>0</v>
      </c>
      <c r="H23" s="1"/>
      <c r="I23" s="1"/>
      <c r="K23" s="43" t="s">
        <v>21</v>
      </c>
      <c r="L23" s="1">
        <f>SUM(L18:L22)</f>
        <v>0</v>
      </c>
      <c r="N23" s="44" t="s">
        <v>22</v>
      </c>
      <c r="O23" s="45"/>
      <c r="P23" s="46"/>
      <c r="Q23" s="47">
        <f>SUM(Q15:Q22)</f>
        <v>0</v>
      </c>
      <c r="R23" s="48" t="s">
        <v>22</v>
      </c>
      <c r="S23" s="48"/>
      <c r="T23" s="48"/>
      <c r="U23" s="33">
        <f>SUM(U15:U22)</f>
        <v>0</v>
      </c>
      <c r="V23" s="49" t="s">
        <v>23</v>
      </c>
    </row>
    <row r="24" spans="1:22" ht="15.75" thickBot="1" x14ac:dyDescent="0.3">
      <c r="B24" s="50" t="s">
        <v>7</v>
      </c>
      <c r="C24" s="51"/>
      <c r="D24" s="51"/>
      <c r="E24" s="51"/>
      <c r="F24" s="52">
        <f>SUM(F5:F23)</f>
        <v>0</v>
      </c>
      <c r="G24" s="53"/>
      <c r="N24" s="54" t="s">
        <v>24</v>
      </c>
      <c r="O24" s="55"/>
      <c r="P24" s="56"/>
      <c r="Q24" s="57">
        <f>Q14-Q23</f>
        <v>0</v>
      </c>
      <c r="R24" s="58" t="s">
        <v>25</v>
      </c>
      <c r="S24" s="58"/>
      <c r="T24" s="58"/>
      <c r="U24" s="33">
        <f>U14-U23</f>
        <v>0</v>
      </c>
      <c r="V24" s="33">
        <f>Q24+U24</f>
        <v>0</v>
      </c>
    </row>
    <row r="25" spans="1:22" x14ac:dyDescent="0.25">
      <c r="N25" s="1" t="s">
        <v>26</v>
      </c>
      <c r="O25" s="1"/>
      <c r="P25" s="59"/>
      <c r="Q25" s="60"/>
      <c r="R25" s="1" t="s">
        <v>26</v>
      </c>
      <c r="S25" s="1"/>
      <c r="T25" s="3"/>
      <c r="U25" s="60"/>
      <c r="V25" s="61"/>
    </row>
    <row r="26" spans="1:22" x14ac:dyDescent="0.25">
      <c r="N26" s="1" t="s">
        <v>27</v>
      </c>
      <c r="O26" s="1"/>
      <c r="P26" s="3"/>
      <c r="Q26" s="4"/>
      <c r="R26" s="1" t="s">
        <v>27</v>
      </c>
      <c r="S26" s="1"/>
      <c r="T26" s="3"/>
      <c r="U26" s="4"/>
      <c r="V26" s="62"/>
    </row>
    <row r="27" spans="1:22" x14ac:dyDescent="0.25">
      <c r="A27" s="106" t="s">
        <v>17</v>
      </c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</row>
    <row r="28" spans="1:22" x14ac:dyDescent="0.25">
      <c r="A28" s="1" t="s">
        <v>11</v>
      </c>
      <c r="B28" s="5" t="s">
        <v>2</v>
      </c>
      <c r="C28" s="6" t="s">
        <v>12</v>
      </c>
      <c r="D28" s="6"/>
      <c r="E28" s="5" t="s">
        <v>4</v>
      </c>
      <c r="F28" s="7">
        <v>0.06</v>
      </c>
      <c r="G28" s="7" t="s">
        <v>13</v>
      </c>
      <c r="H28" s="5" t="s">
        <v>14</v>
      </c>
      <c r="I28" s="8" t="s">
        <v>3</v>
      </c>
      <c r="K28" s="9"/>
      <c r="L28" s="10"/>
    </row>
    <row r="29" spans="1:22" x14ac:dyDescent="0.25">
      <c r="A29" s="1">
        <v>1</v>
      </c>
      <c r="B29" s="1"/>
      <c r="C29" s="1"/>
      <c r="D29" s="1"/>
      <c r="E29" s="1"/>
      <c r="F29" s="1">
        <f>E29*0.06</f>
        <v>0</v>
      </c>
      <c r="G29" s="1">
        <f>E29-F29</f>
        <v>0</v>
      </c>
      <c r="H29" s="1"/>
      <c r="I29" s="1"/>
      <c r="K29" s="18"/>
      <c r="L29" s="18"/>
    </row>
    <row r="30" spans="1:22" x14ac:dyDescent="0.25">
      <c r="A30" s="1">
        <v>2</v>
      </c>
      <c r="B30" s="1"/>
      <c r="C30" s="1"/>
      <c r="D30" s="1"/>
      <c r="E30" s="1"/>
      <c r="F30" s="1">
        <f t="shared" ref="F30:F47" si="6">E30*0.06</f>
        <v>0</v>
      </c>
      <c r="G30" s="1">
        <f t="shared" ref="G30:G47" si="7">E30-F30</f>
        <v>0</v>
      </c>
      <c r="H30" s="1"/>
      <c r="I30" s="1"/>
      <c r="K30" s="18"/>
      <c r="L30" s="18"/>
    </row>
    <row r="31" spans="1:22" ht="18.75" x14ac:dyDescent="0.3">
      <c r="A31" s="1">
        <v>3</v>
      </c>
      <c r="B31" s="1"/>
      <c r="C31" s="1"/>
      <c r="D31" s="1"/>
      <c r="E31" s="1"/>
      <c r="F31" s="1">
        <f t="shared" si="6"/>
        <v>0</v>
      </c>
      <c r="G31" s="1">
        <f t="shared" si="7"/>
        <v>0</v>
      </c>
      <c r="H31" s="1"/>
      <c r="I31" s="1"/>
      <c r="K31" s="18"/>
      <c r="L31" s="18"/>
      <c r="N31" s="107" t="s">
        <v>30</v>
      </c>
      <c r="O31" s="107"/>
      <c r="P31" s="107"/>
      <c r="Q31" s="107"/>
      <c r="R31" s="107"/>
      <c r="S31" s="107"/>
      <c r="T31" s="107"/>
      <c r="U31" s="107"/>
    </row>
    <row r="32" spans="1:22" ht="15.75" thickBot="1" x14ac:dyDescent="0.3">
      <c r="A32" s="1">
        <v>4</v>
      </c>
      <c r="B32" s="1"/>
      <c r="C32" s="1"/>
      <c r="D32" s="1"/>
      <c r="E32" s="1"/>
      <c r="F32" s="1">
        <f t="shared" si="6"/>
        <v>0</v>
      </c>
      <c r="G32" s="1">
        <f t="shared" si="7"/>
        <v>0</v>
      </c>
      <c r="H32" s="1"/>
      <c r="I32" s="1"/>
      <c r="K32" s="18"/>
      <c r="L32" s="18"/>
      <c r="N32" s="108" t="s">
        <v>37</v>
      </c>
      <c r="O32" s="108"/>
      <c r="P32" s="108"/>
      <c r="Q32" s="108"/>
      <c r="R32" s="108"/>
      <c r="S32" s="108"/>
      <c r="T32" s="108"/>
      <c r="U32" s="108"/>
    </row>
    <row r="33" spans="1:21" ht="23.25" thickBot="1" x14ac:dyDescent="0.3">
      <c r="A33" s="1">
        <v>5</v>
      </c>
      <c r="B33" s="1"/>
      <c r="C33" s="1"/>
      <c r="D33" s="1"/>
      <c r="E33" s="1"/>
      <c r="F33" s="1">
        <f t="shared" si="6"/>
        <v>0</v>
      </c>
      <c r="G33" s="1">
        <f t="shared" si="7"/>
        <v>0</v>
      </c>
      <c r="H33" s="1"/>
      <c r="I33" s="1"/>
      <c r="K33" s="18"/>
      <c r="L33" s="100"/>
      <c r="N33" s="87" t="s">
        <v>2</v>
      </c>
      <c r="O33" s="87" t="s">
        <v>0</v>
      </c>
      <c r="P33" s="88" t="s">
        <v>28</v>
      </c>
      <c r="Q33" s="89" t="s">
        <v>31</v>
      </c>
      <c r="R33" s="88" t="s">
        <v>32</v>
      </c>
      <c r="S33" s="89" t="s">
        <v>33</v>
      </c>
      <c r="T33" s="90" t="s">
        <v>34</v>
      </c>
      <c r="U33" s="90" t="s">
        <v>35</v>
      </c>
    </row>
    <row r="34" spans="1:21" x14ac:dyDescent="0.25">
      <c r="A34" s="1">
        <v>6</v>
      </c>
      <c r="B34" s="1"/>
      <c r="C34" s="1"/>
      <c r="D34" s="1"/>
      <c r="E34" s="1"/>
      <c r="F34" s="1">
        <f t="shared" si="6"/>
        <v>0</v>
      </c>
      <c r="G34" s="1">
        <f t="shared" si="7"/>
        <v>0</v>
      </c>
      <c r="H34" s="1"/>
      <c r="I34" s="1"/>
      <c r="K34" s="18"/>
      <c r="L34" s="18"/>
      <c r="N34" s="121"/>
      <c r="O34" s="65" t="s">
        <v>1</v>
      </c>
      <c r="P34" s="66"/>
      <c r="Q34" s="67"/>
      <c r="R34" s="66"/>
      <c r="S34" s="67"/>
      <c r="T34" s="68"/>
      <c r="U34" s="68"/>
    </row>
    <row r="35" spans="1:21" ht="15.75" thickBot="1" x14ac:dyDescent="0.3">
      <c r="A35" s="1">
        <v>7</v>
      </c>
      <c r="B35" s="1"/>
      <c r="C35" s="1"/>
      <c r="D35" s="1"/>
      <c r="E35" s="1"/>
      <c r="F35" s="1">
        <f t="shared" si="6"/>
        <v>0</v>
      </c>
      <c r="G35" s="1">
        <f t="shared" si="7"/>
        <v>0</v>
      </c>
      <c r="H35" s="1"/>
      <c r="I35" s="1"/>
      <c r="K35" s="18"/>
      <c r="L35" s="18"/>
      <c r="N35" s="122"/>
      <c r="O35" s="69" t="s">
        <v>8</v>
      </c>
      <c r="P35" s="70"/>
      <c r="Q35" s="71"/>
      <c r="R35" s="70"/>
      <c r="S35" s="71"/>
      <c r="T35" s="72"/>
      <c r="U35" s="72"/>
    </row>
    <row r="36" spans="1:21" x14ac:dyDescent="0.25">
      <c r="A36" s="1">
        <v>8</v>
      </c>
      <c r="B36" s="1"/>
      <c r="C36" s="1"/>
      <c r="D36" s="1"/>
      <c r="E36" s="1"/>
      <c r="F36" s="1">
        <f t="shared" si="6"/>
        <v>0</v>
      </c>
      <c r="G36" s="1">
        <f t="shared" si="7"/>
        <v>0</v>
      </c>
      <c r="H36" s="1"/>
      <c r="I36" s="1"/>
      <c r="K36" s="18"/>
      <c r="L36" s="18"/>
      <c r="N36" s="127"/>
      <c r="O36" s="65" t="s">
        <v>1</v>
      </c>
      <c r="P36" s="66"/>
      <c r="Q36" s="67"/>
      <c r="R36" s="66"/>
      <c r="S36" s="67"/>
      <c r="T36" s="68"/>
      <c r="U36" s="68"/>
    </row>
    <row r="37" spans="1:21" ht="15.75" thickBot="1" x14ac:dyDescent="0.3">
      <c r="A37" s="1">
        <v>9</v>
      </c>
      <c r="B37" s="1"/>
      <c r="C37" s="1"/>
      <c r="D37" s="1"/>
      <c r="E37" s="1"/>
      <c r="F37" s="1">
        <f t="shared" si="6"/>
        <v>0</v>
      </c>
      <c r="G37" s="1">
        <f t="shared" si="7"/>
        <v>0</v>
      </c>
      <c r="H37" s="1"/>
      <c r="I37" s="1"/>
      <c r="K37" s="18"/>
      <c r="L37" s="18"/>
      <c r="N37" s="128"/>
      <c r="O37" s="69" t="s">
        <v>8</v>
      </c>
      <c r="P37" s="70"/>
      <c r="Q37" s="71"/>
      <c r="R37" s="70"/>
      <c r="S37" s="71"/>
      <c r="T37" s="72"/>
      <c r="U37" s="72"/>
    </row>
    <row r="38" spans="1:21" x14ac:dyDescent="0.25">
      <c r="A38" s="1">
        <v>10</v>
      </c>
      <c r="B38" s="1"/>
      <c r="C38" s="1"/>
      <c r="D38" s="1"/>
      <c r="E38" s="1"/>
      <c r="F38" s="1">
        <f t="shared" si="6"/>
        <v>0</v>
      </c>
      <c r="G38" s="1">
        <f t="shared" si="7"/>
        <v>0</v>
      </c>
      <c r="H38" s="1"/>
      <c r="I38" s="1"/>
      <c r="K38" s="31"/>
      <c r="L38" s="100"/>
      <c r="N38" s="121"/>
      <c r="O38" s="65" t="s">
        <v>1</v>
      </c>
      <c r="P38" s="66"/>
      <c r="Q38" s="67"/>
      <c r="R38" s="66"/>
      <c r="S38" s="67"/>
      <c r="T38" s="68"/>
      <c r="U38" s="68"/>
    </row>
    <row r="39" spans="1:21" ht="15.75" thickBot="1" x14ac:dyDescent="0.3">
      <c r="A39" s="1">
        <v>11</v>
      </c>
      <c r="B39" s="1"/>
      <c r="C39" s="1"/>
      <c r="D39" s="1"/>
      <c r="E39" s="1"/>
      <c r="F39" s="1">
        <f t="shared" si="6"/>
        <v>0</v>
      </c>
      <c r="G39" s="1">
        <f t="shared" si="7"/>
        <v>0</v>
      </c>
      <c r="H39" s="1"/>
      <c r="I39" s="1"/>
      <c r="N39" s="122"/>
      <c r="O39" s="69" t="s">
        <v>8</v>
      </c>
      <c r="P39" s="70"/>
      <c r="Q39" s="71"/>
      <c r="R39" s="70"/>
      <c r="S39" s="71"/>
      <c r="T39" s="72"/>
      <c r="U39" s="72"/>
    </row>
    <row r="40" spans="1:21" ht="15.75" thickBot="1" x14ac:dyDescent="0.3">
      <c r="A40" s="1">
        <v>12</v>
      </c>
      <c r="B40" s="1"/>
      <c r="C40" s="1"/>
      <c r="D40" s="1"/>
      <c r="E40" s="1"/>
      <c r="F40" s="1">
        <f t="shared" si="6"/>
        <v>0</v>
      </c>
      <c r="G40" s="1">
        <f t="shared" si="7"/>
        <v>0</v>
      </c>
      <c r="H40" s="1"/>
      <c r="I40" s="1"/>
      <c r="N40" s="121"/>
      <c r="O40" s="65" t="s">
        <v>1</v>
      </c>
      <c r="P40" s="66"/>
      <c r="Q40" s="67"/>
      <c r="R40" s="66"/>
      <c r="S40" s="67"/>
      <c r="T40" s="68"/>
      <c r="U40" s="68"/>
    </row>
    <row r="41" spans="1:21" ht="15.75" thickBot="1" x14ac:dyDescent="0.3">
      <c r="A41" s="1">
        <v>13</v>
      </c>
      <c r="B41" s="1"/>
      <c r="C41" s="1"/>
      <c r="D41" s="1"/>
      <c r="E41" s="1"/>
      <c r="F41" s="1">
        <f t="shared" si="6"/>
        <v>0</v>
      </c>
      <c r="G41" s="1">
        <f t="shared" si="7"/>
        <v>0</v>
      </c>
      <c r="H41" s="1"/>
      <c r="I41" s="1"/>
      <c r="K41" s="117" t="s">
        <v>5</v>
      </c>
      <c r="L41" s="118"/>
      <c r="N41" s="122"/>
      <c r="O41" s="69" t="s">
        <v>8</v>
      </c>
      <c r="P41" s="70"/>
      <c r="Q41" s="71"/>
      <c r="R41" s="70"/>
      <c r="S41" s="71"/>
      <c r="T41" s="72"/>
      <c r="U41" s="72"/>
    </row>
    <row r="42" spans="1:21" x14ac:dyDescent="0.25">
      <c r="A42" s="1">
        <v>14</v>
      </c>
      <c r="B42" s="1"/>
      <c r="C42" s="1"/>
      <c r="D42" s="1"/>
      <c r="E42" s="1"/>
      <c r="F42" s="1">
        <f t="shared" si="6"/>
        <v>0</v>
      </c>
      <c r="G42" s="1">
        <f t="shared" si="7"/>
        <v>0</v>
      </c>
      <c r="H42" s="1"/>
      <c r="I42" s="1"/>
      <c r="K42" s="38"/>
      <c r="L42" s="38"/>
      <c r="N42" s="121"/>
      <c r="O42" s="65" t="s">
        <v>1</v>
      </c>
      <c r="P42" s="73"/>
      <c r="Q42" s="74"/>
      <c r="R42" s="73"/>
      <c r="S42" s="74"/>
      <c r="T42" s="75"/>
      <c r="U42" s="75"/>
    </row>
    <row r="43" spans="1:21" ht="15.75" thickBot="1" x14ac:dyDescent="0.3">
      <c r="A43" s="1">
        <v>15</v>
      </c>
      <c r="B43" s="1"/>
      <c r="C43" s="1"/>
      <c r="D43" s="1"/>
      <c r="E43" s="1"/>
      <c r="F43" s="1">
        <f t="shared" si="6"/>
        <v>0</v>
      </c>
      <c r="G43" s="1">
        <f t="shared" si="7"/>
        <v>0</v>
      </c>
      <c r="H43" s="1"/>
      <c r="I43" s="1"/>
      <c r="K43" s="1"/>
      <c r="L43" s="1"/>
      <c r="N43" s="122"/>
      <c r="O43" s="69" t="s">
        <v>8</v>
      </c>
      <c r="P43" s="70"/>
      <c r="Q43" s="71"/>
      <c r="R43" s="70"/>
      <c r="S43" s="71"/>
      <c r="T43" s="72"/>
      <c r="U43" s="72"/>
    </row>
    <row r="44" spans="1:21" x14ac:dyDescent="0.25">
      <c r="A44" s="1">
        <v>16</v>
      </c>
      <c r="B44" s="1"/>
      <c r="C44" s="1"/>
      <c r="D44" s="1"/>
      <c r="E44" s="1"/>
      <c r="F44" s="1">
        <f t="shared" si="6"/>
        <v>0</v>
      </c>
      <c r="G44" s="1">
        <f t="shared" si="7"/>
        <v>0</v>
      </c>
      <c r="H44" s="1"/>
      <c r="I44" s="1"/>
      <c r="K44" s="1"/>
      <c r="L44" s="1"/>
      <c r="N44" s="123"/>
      <c r="O44" s="76" t="s">
        <v>1</v>
      </c>
      <c r="P44" s="77"/>
      <c r="Q44" s="78"/>
      <c r="R44" s="77"/>
      <c r="S44" s="78"/>
      <c r="T44" s="79"/>
      <c r="U44" s="79"/>
    </row>
    <row r="45" spans="1:21" ht="15.75" thickBot="1" x14ac:dyDescent="0.3">
      <c r="A45" s="1">
        <v>18</v>
      </c>
      <c r="B45" s="1"/>
      <c r="C45" s="1"/>
      <c r="D45" s="1"/>
      <c r="E45" s="1"/>
      <c r="F45" s="1">
        <f t="shared" si="6"/>
        <v>0</v>
      </c>
      <c r="G45" s="1">
        <f t="shared" si="7"/>
        <v>0</v>
      </c>
      <c r="H45" s="1"/>
      <c r="I45" s="1"/>
      <c r="K45" s="1"/>
      <c r="L45" s="1"/>
      <c r="N45" s="124"/>
      <c r="O45" s="80" t="s">
        <v>8</v>
      </c>
      <c r="P45" s="81"/>
      <c r="Q45" s="82"/>
      <c r="R45" s="81"/>
      <c r="S45" s="82"/>
      <c r="T45" s="83"/>
      <c r="U45" s="83"/>
    </row>
    <row r="46" spans="1:21" ht="15.75" thickTop="1" x14ac:dyDescent="0.25">
      <c r="A46" s="1">
        <v>19</v>
      </c>
      <c r="B46" s="1"/>
      <c r="C46" s="1"/>
      <c r="D46" s="1"/>
      <c r="E46" s="1"/>
      <c r="F46" s="1">
        <f t="shared" si="6"/>
        <v>0</v>
      </c>
      <c r="G46" s="1">
        <f t="shared" si="7"/>
        <v>0</v>
      </c>
      <c r="H46" s="1"/>
      <c r="I46" s="1"/>
      <c r="K46" s="1"/>
      <c r="L46" s="1"/>
      <c r="N46" s="109" t="s">
        <v>6</v>
      </c>
      <c r="O46" s="84" t="s">
        <v>1</v>
      </c>
      <c r="P46" s="84">
        <f t="shared" ref="P46:U47" si="8">SUM(P34+P36+P38+P40+P42+P44)</f>
        <v>0</v>
      </c>
      <c r="Q46" s="84">
        <f t="shared" si="8"/>
        <v>0</v>
      </c>
      <c r="R46" s="84">
        <f>SUM(R34+R36+R38+R40+R42+R44)</f>
        <v>0</v>
      </c>
      <c r="S46" s="84">
        <f t="shared" si="8"/>
        <v>0</v>
      </c>
      <c r="T46" s="84">
        <f t="shared" si="8"/>
        <v>0</v>
      </c>
      <c r="U46" s="84">
        <f t="shared" si="8"/>
        <v>0</v>
      </c>
    </row>
    <row r="47" spans="1:21" ht="15.75" thickBot="1" x14ac:dyDescent="0.3">
      <c r="A47" s="28">
        <v>20</v>
      </c>
      <c r="B47" s="1"/>
      <c r="C47" s="28"/>
      <c r="D47" s="28"/>
      <c r="E47" s="28"/>
      <c r="F47" s="28">
        <f t="shared" si="6"/>
        <v>0</v>
      </c>
      <c r="G47" s="1">
        <f t="shared" si="7"/>
        <v>0</v>
      </c>
      <c r="H47" s="1"/>
      <c r="I47" s="1"/>
      <c r="K47" s="43" t="s">
        <v>21</v>
      </c>
      <c r="L47" s="1">
        <f>SUM(L42:L46)</f>
        <v>0</v>
      </c>
      <c r="N47" s="110"/>
      <c r="O47" s="85" t="s">
        <v>8</v>
      </c>
      <c r="P47" s="85">
        <f t="shared" si="8"/>
        <v>0</v>
      </c>
      <c r="Q47" s="85">
        <f t="shared" si="8"/>
        <v>0</v>
      </c>
      <c r="R47" s="85">
        <f t="shared" si="8"/>
        <v>0</v>
      </c>
      <c r="S47" s="85">
        <f t="shared" si="8"/>
        <v>0</v>
      </c>
      <c r="T47" s="85">
        <f t="shared" si="8"/>
        <v>0</v>
      </c>
      <c r="U47" s="85">
        <f t="shared" si="8"/>
        <v>0</v>
      </c>
    </row>
    <row r="48" spans="1:21" ht="16.5" thickTop="1" thickBot="1" x14ac:dyDescent="0.3">
      <c r="A48" s="2"/>
      <c r="B48" s="63" t="s">
        <v>7</v>
      </c>
      <c r="C48" s="51"/>
      <c r="D48" s="51"/>
      <c r="E48" s="51"/>
      <c r="F48" s="64">
        <f>SUM(F29:F47)</f>
        <v>0</v>
      </c>
      <c r="G48" s="18"/>
      <c r="N48" s="111" t="s">
        <v>29</v>
      </c>
      <c r="O48" s="112"/>
      <c r="P48" s="38">
        <f t="shared" ref="P48:U48" si="9">SUM(P46:P47)</f>
        <v>0</v>
      </c>
      <c r="Q48" s="38">
        <f t="shared" si="9"/>
        <v>0</v>
      </c>
      <c r="R48" s="38">
        <f t="shared" si="9"/>
        <v>0</v>
      </c>
      <c r="S48" s="38">
        <f t="shared" si="9"/>
        <v>0</v>
      </c>
      <c r="T48" s="38">
        <f t="shared" si="9"/>
        <v>0</v>
      </c>
      <c r="U48" s="38">
        <f t="shared" si="9"/>
        <v>0</v>
      </c>
    </row>
    <row r="53" spans="2:8" x14ac:dyDescent="0.25">
      <c r="B53" s="113"/>
      <c r="C53" s="113"/>
      <c r="F53" s="114"/>
      <c r="G53" s="114"/>
      <c r="H53" s="114"/>
    </row>
  </sheetData>
  <mergeCells count="16">
    <mergeCell ref="N34:N35"/>
    <mergeCell ref="A3:L3"/>
    <mergeCell ref="K17:L17"/>
    <mergeCell ref="A27:L27"/>
    <mergeCell ref="N31:U31"/>
    <mergeCell ref="N32:U32"/>
    <mergeCell ref="N46:N47"/>
    <mergeCell ref="N48:O48"/>
    <mergeCell ref="B53:C53"/>
    <mergeCell ref="F53:H53"/>
    <mergeCell ref="N36:N37"/>
    <mergeCell ref="N38:N39"/>
    <mergeCell ref="N40:N41"/>
    <mergeCell ref="K41:L41"/>
    <mergeCell ref="N42:N43"/>
    <mergeCell ref="N44:N4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/>
  <dimension ref="B2:K27"/>
  <sheetViews>
    <sheetView tabSelected="1" workbookViewId="0">
      <selection activeCell="A20" sqref="A20"/>
    </sheetView>
  </sheetViews>
  <sheetFormatPr baseColWidth="10" defaultRowHeight="15" x14ac:dyDescent="0.25"/>
  <cols>
    <col min="2" max="2" width="17.140625" bestFit="1" customWidth="1"/>
  </cols>
  <sheetData>
    <row r="2" spans="2:10" ht="18.75" x14ac:dyDescent="0.3">
      <c r="B2" s="107" t="s">
        <v>30</v>
      </c>
      <c r="C2" s="107"/>
      <c r="D2" s="107"/>
      <c r="E2" s="107"/>
      <c r="F2" s="107"/>
      <c r="G2" s="107"/>
      <c r="H2" s="107"/>
      <c r="I2" s="107"/>
      <c r="J2" s="107"/>
    </row>
    <row r="3" spans="2:10" ht="15.75" thickBot="1" x14ac:dyDescent="0.3">
      <c r="B3" s="108" t="s">
        <v>37</v>
      </c>
      <c r="C3" s="108"/>
      <c r="D3" s="108"/>
      <c r="E3" s="108"/>
      <c r="F3" s="108"/>
      <c r="G3" s="108"/>
      <c r="H3" s="108"/>
      <c r="I3" s="108"/>
      <c r="J3" s="108"/>
    </row>
    <row r="4" spans="2:10" ht="34.5" thickBot="1" x14ac:dyDescent="0.3">
      <c r="B4" s="87" t="s">
        <v>2</v>
      </c>
      <c r="C4" s="87" t="s">
        <v>0</v>
      </c>
      <c r="D4" s="88" t="s">
        <v>28</v>
      </c>
      <c r="E4" s="89" t="s">
        <v>31</v>
      </c>
      <c r="F4" s="88" t="s">
        <v>32</v>
      </c>
      <c r="G4" s="89" t="s">
        <v>33</v>
      </c>
      <c r="H4" s="90" t="s">
        <v>34</v>
      </c>
      <c r="I4" s="90" t="s">
        <v>85</v>
      </c>
      <c r="J4" s="90" t="s">
        <v>35</v>
      </c>
    </row>
    <row r="5" spans="2:10" x14ac:dyDescent="0.25">
      <c r="B5" s="121" t="s">
        <v>89</v>
      </c>
      <c r="C5" s="65" t="s">
        <v>1</v>
      </c>
      <c r="D5" s="66">
        <v>1</v>
      </c>
      <c r="E5" s="67">
        <v>2</v>
      </c>
      <c r="F5" s="66">
        <v>3</v>
      </c>
      <c r="G5" s="67">
        <v>3</v>
      </c>
      <c r="H5" s="68">
        <v>0</v>
      </c>
      <c r="I5" s="68">
        <v>0</v>
      </c>
      <c r="J5" s="68">
        <v>0</v>
      </c>
    </row>
    <row r="6" spans="2:10" ht="15.75" thickBot="1" x14ac:dyDescent="0.3">
      <c r="B6" s="122"/>
      <c r="C6" s="69" t="s">
        <v>8</v>
      </c>
      <c r="D6" s="70">
        <v>0</v>
      </c>
      <c r="E6" s="71">
        <v>0</v>
      </c>
      <c r="F6" s="70">
        <v>0</v>
      </c>
      <c r="G6" s="71">
        <v>0</v>
      </c>
      <c r="H6" s="72">
        <v>0</v>
      </c>
      <c r="I6" s="72">
        <v>0</v>
      </c>
      <c r="J6" s="72">
        <v>0</v>
      </c>
    </row>
    <row r="7" spans="2:10" x14ac:dyDescent="0.25">
      <c r="B7" s="121" t="s">
        <v>90</v>
      </c>
      <c r="C7" s="65" t="s">
        <v>1</v>
      </c>
      <c r="D7" s="66">
        <v>0</v>
      </c>
      <c r="E7" s="67">
        <v>0</v>
      </c>
      <c r="F7" s="66">
        <v>0</v>
      </c>
      <c r="G7" s="67">
        <v>0</v>
      </c>
      <c r="H7" s="68">
        <v>0</v>
      </c>
      <c r="I7" s="68">
        <v>0</v>
      </c>
      <c r="J7" s="68">
        <v>0</v>
      </c>
    </row>
    <row r="8" spans="2:10" ht="15.75" thickBot="1" x14ac:dyDescent="0.3">
      <c r="B8" s="122"/>
      <c r="C8" s="69" t="s">
        <v>8</v>
      </c>
      <c r="D8" s="70">
        <v>0</v>
      </c>
      <c r="E8" s="71">
        <v>0</v>
      </c>
      <c r="F8" s="70">
        <v>0</v>
      </c>
      <c r="G8" s="71">
        <v>0</v>
      </c>
      <c r="H8" s="72">
        <v>0</v>
      </c>
      <c r="I8" s="72">
        <v>0</v>
      </c>
      <c r="J8" s="72">
        <v>0</v>
      </c>
    </row>
    <row r="9" spans="2:10" x14ac:dyDescent="0.25">
      <c r="B9" s="121" t="s">
        <v>91</v>
      </c>
      <c r="C9" s="65" t="s">
        <v>1</v>
      </c>
      <c r="D9" s="66">
        <v>0</v>
      </c>
      <c r="E9" s="67">
        <v>0</v>
      </c>
      <c r="F9" s="66">
        <v>0</v>
      </c>
      <c r="G9" s="67">
        <v>0</v>
      </c>
      <c r="H9" s="68">
        <v>0</v>
      </c>
      <c r="I9" s="68">
        <v>0</v>
      </c>
      <c r="J9" s="68">
        <v>0</v>
      </c>
    </row>
    <row r="10" spans="2:10" ht="15.75" thickBot="1" x14ac:dyDescent="0.3">
      <c r="B10" s="122"/>
      <c r="C10" s="69" t="s">
        <v>8</v>
      </c>
      <c r="D10" s="70">
        <v>0</v>
      </c>
      <c r="E10" s="71">
        <v>0</v>
      </c>
      <c r="F10" s="70">
        <v>0</v>
      </c>
      <c r="G10" s="71">
        <v>0</v>
      </c>
      <c r="H10" s="72">
        <v>0</v>
      </c>
      <c r="I10" s="72">
        <v>0</v>
      </c>
      <c r="J10" s="72">
        <v>0</v>
      </c>
    </row>
    <row r="11" spans="2:10" x14ac:dyDescent="0.25">
      <c r="B11" s="121"/>
      <c r="C11" s="65" t="s">
        <v>1</v>
      </c>
      <c r="D11" s="66">
        <v>0</v>
      </c>
      <c r="E11" s="67">
        <v>0</v>
      </c>
      <c r="F11" s="66">
        <v>0</v>
      </c>
      <c r="G11" s="67">
        <v>0</v>
      </c>
      <c r="H11" s="68">
        <v>0</v>
      </c>
      <c r="I11" s="68">
        <v>0</v>
      </c>
      <c r="J11" s="68">
        <v>0</v>
      </c>
    </row>
    <row r="12" spans="2:10" ht="15.75" thickBot="1" x14ac:dyDescent="0.3">
      <c r="B12" s="122"/>
      <c r="C12" s="69" t="s">
        <v>8</v>
      </c>
      <c r="D12" s="70">
        <v>0</v>
      </c>
      <c r="E12" s="71">
        <v>0</v>
      </c>
      <c r="F12" s="70">
        <v>0</v>
      </c>
      <c r="G12" s="71">
        <v>0</v>
      </c>
      <c r="H12" s="72">
        <v>0</v>
      </c>
      <c r="I12" s="72">
        <v>0</v>
      </c>
      <c r="J12" s="72">
        <v>0</v>
      </c>
    </row>
    <row r="13" spans="2:10" x14ac:dyDescent="0.25">
      <c r="B13" s="121"/>
      <c r="C13" s="65" t="s">
        <v>1</v>
      </c>
      <c r="D13" s="73">
        <v>0</v>
      </c>
      <c r="E13" s="74">
        <v>0</v>
      </c>
      <c r="F13" s="73">
        <v>0</v>
      </c>
      <c r="G13" s="74">
        <v>0</v>
      </c>
      <c r="H13" s="75">
        <v>0</v>
      </c>
      <c r="I13" s="75">
        <v>0</v>
      </c>
      <c r="J13" s="75">
        <v>0</v>
      </c>
    </row>
    <row r="14" spans="2:10" ht="15.75" thickBot="1" x14ac:dyDescent="0.3">
      <c r="B14" s="122"/>
      <c r="C14" s="69" t="s">
        <v>8</v>
      </c>
      <c r="D14" s="70">
        <v>0</v>
      </c>
      <c r="E14" s="71">
        <v>0</v>
      </c>
      <c r="F14" s="70">
        <v>0</v>
      </c>
      <c r="G14" s="71">
        <v>0</v>
      </c>
      <c r="H14" s="72">
        <v>0</v>
      </c>
      <c r="I14" s="72">
        <v>0</v>
      </c>
      <c r="J14" s="72">
        <v>0</v>
      </c>
    </row>
    <row r="15" spans="2:10" x14ac:dyDescent="0.25">
      <c r="B15" s="123"/>
      <c r="C15" s="76" t="s">
        <v>1</v>
      </c>
      <c r="D15" s="77">
        <v>0</v>
      </c>
      <c r="E15" s="78">
        <v>0</v>
      </c>
      <c r="F15" s="77">
        <v>0</v>
      </c>
      <c r="G15" s="78">
        <v>0</v>
      </c>
      <c r="H15" s="79">
        <v>0</v>
      </c>
      <c r="I15" s="79">
        <v>0</v>
      </c>
      <c r="J15" s="79">
        <v>0</v>
      </c>
    </row>
    <row r="16" spans="2:10" ht="15.75" thickBot="1" x14ac:dyDescent="0.3">
      <c r="B16" s="124"/>
      <c r="C16" s="80" t="s">
        <v>8</v>
      </c>
      <c r="D16" s="81">
        <v>0</v>
      </c>
      <c r="E16" s="82">
        <v>0</v>
      </c>
      <c r="F16" s="81">
        <v>0</v>
      </c>
      <c r="G16" s="82">
        <v>0</v>
      </c>
      <c r="H16" s="83">
        <v>0</v>
      </c>
      <c r="I16" s="83">
        <v>0</v>
      </c>
      <c r="J16" s="83">
        <v>0</v>
      </c>
    </row>
    <row r="17" spans="2:11" ht="15.75" thickTop="1" x14ac:dyDescent="0.25">
      <c r="B17" s="109" t="s">
        <v>6</v>
      </c>
      <c r="C17" s="84" t="s">
        <v>1</v>
      </c>
      <c r="D17" s="84">
        <f t="shared" ref="D17:J18" si="0">SUM(D5+D7+D9+D11+D13+D15)</f>
        <v>1</v>
      </c>
      <c r="E17" s="84">
        <f t="shared" si="0"/>
        <v>2</v>
      </c>
      <c r="F17" s="84">
        <f>SUM(F5+F7+F9+F11+F13+F15)</f>
        <v>3</v>
      </c>
      <c r="G17" s="84">
        <f t="shared" si="0"/>
        <v>3</v>
      </c>
      <c r="H17" s="84">
        <f t="shared" si="0"/>
        <v>0</v>
      </c>
      <c r="I17" s="84">
        <f t="shared" si="0"/>
        <v>0</v>
      </c>
      <c r="J17" s="84">
        <f t="shared" si="0"/>
        <v>0</v>
      </c>
    </row>
    <row r="18" spans="2:11" ht="15.75" thickBot="1" x14ac:dyDescent="0.3">
      <c r="B18" s="110"/>
      <c r="C18" s="85" t="s">
        <v>8</v>
      </c>
      <c r="D18" s="85">
        <f t="shared" si="0"/>
        <v>0</v>
      </c>
      <c r="E18" s="85">
        <f t="shared" si="0"/>
        <v>0</v>
      </c>
      <c r="F18" s="85">
        <f t="shared" si="0"/>
        <v>0</v>
      </c>
      <c r="G18" s="85">
        <f t="shared" si="0"/>
        <v>0</v>
      </c>
      <c r="H18" s="85">
        <f t="shared" si="0"/>
        <v>0</v>
      </c>
      <c r="I18" s="85">
        <f t="shared" si="0"/>
        <v>0</v>
      </c>
      <c r="J18" s="85">
        <f t="shared" si="0"/>
        <v>0</v>
      </c>
    </row>
    <row r="19" spans="2:11" ht="15.75" thickTop="1" x14ac:dyDescent="0.25">
      <c r="B19" s="111" t="s">
        <v>29</v>
      </c>
      <c r="C19" s="112"/>
      <c r="D19" s="93">
        <f t="shared" ref="D19:J19" si="1">SUM(D17:D18)</f>
        <v>1</v>
      </c>
      <c r="E19" s="38">
        <f t="shared" si="1"/>
        <v>2</v>
      </c>
      <c r="F19" s="38">
        <f t="shared" si="1"/>
        <v>3</v>
      </c>
      <c r="G19" s="38">
        <f t="shared" si="1"/>
        <v>3</v>
      </c>
      <c r="H19" s="38">
        <f t="shared" si="1"/>
        <v>0</v>
      </c>
      <c r="I19" s="38">
        <f t="shared" si="1"/>
        <v>0</v>
      </c>
      <c r="J19" s="38">
        <f t="shared" si="1"/>
        <v>0</v>
      </c>
    </row>
    <row r="20" spans="2:11" x14ac:dyDescent="0.25">
      <c r="H20" s="92"/>
      <c r="I20" s="92"/>
    </row>
    <row r="21" spans="2:11" x14ac:dyDescent="0.25">
      <c r="B21" s="92"/>
    </row>
    <row r="22" spans="2:11" x14ac:dyDescent="0.25">
      <c r="K22" s="92"/>
    </row>
    <row r="23" spans="2:11" x14ac:dyDescent="0.25">
      <c r="B23" s="92"/>
    </row>
    <row r="27" spans="2:11" x14ac:dyDescent="0.25">
      <c r="J27" s="92"/>
    </row>
  </sheetData>
  <mergeCells count="10">
    <mergeCell ref="B13:B14"/>
    <mergeCell ref="B15:B16"/>
    <mergeCell ref="B17:B18"/>
    <mergeCell ref="B19:C19"/>
    <mergeCell ref="B2:J2"/>
    <mergeCell ref="B3:J3"/>
    <mergeCell ref="B5:B6"/>
    <mergeCell ref="B7:B8"/>
    <mergeCell ref="B9:B10"/>
    <mergeCell ref="B11:B12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</xdr:col>
                <xdr:colOff>9525</xdr:colOff>
                <xdr:row>19</xdr:row>
                <xdr:rowOff>180975</xdr:rowOff>
              </from>
              <to>
                <xdr:col>8</xdr:col>
                <xdr:colOff>666750</xdr:colOff>
                <xdr:row>21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</xdr:col>
                <xdr:colOff>1123950</xdr:colOff>
                <xdr:row>19</xdr:row>
                <xdr:rowOff>180975</xdr:rowOff>
              </from>
              <to>
                <xdr:col>8</xdr:col>
                <xdr:colOff>666750</xdr:colOff>
                <xdr:row>21</xdr:row>
                <xdr:rowOff>66675</xdr:rowOff>
              </to>
            </anchor>
          </controlPr>
        </control>
      </mc:Choice>
      <mc:Fallback>
        <control shapeId="1026" r:id="rId6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32</vt:i4>
      </vt:variant>
    </vt:vector>
  </HeadingPairs>
  <TitlesOfParts>
    <vt:vector size="32" baseType="lpstr">
      <vt:lpstr>01</vt:lpstr>
      <vt:lpstr>02</vt:lpstr>
      <vt:lpstr>03</vt:lpstr>
      <vt:lpstr>04</vt:lpstr>
      <vt:lpstr>05</vt:lpstr>
      <vt:lpstr>06-domingo</vt:lpstr>
      <vt:lpstr>07</vt:lpstr>
      <vt:lpstr>08-FERIADO</vt:lpstr>
      <vt:lpstr>09</vt:lpstr>
      <vt:lpstr>10</vt:lpstr>
      <vt:lpstr>11</vt:lpstr>
      <vt:lpstr>12</vt:lpstr>
      <vt:lpstr>13-DOMINGO</vt:lpstr>
      <vt:lpstr>14</vt:lpstr>
      <vt:lpstr>15</vt:lpstr>
      <vt:lpstr>16</vt:lpstr>
      <vt:lpstr>17</vt:lpstr>
      <vt:lpstr>18</vt:lpstr>
      <vt:lpstr>Hoja19</vt:lpstr>
      <vt:lpstr>20-DOMINGO</vt:lpstr>
      <vt:lpstr>21</vt:lpstr>
      <vt:lpstr>22</vt:lpstr>
      <vt:lpstr>23</vt:lpstr>
      <vt:lpstr>24</vt:lpstr>
      <vt:lpstr>25</vt:lpstr>
      <vt:lpstr>26</vt:lpstr>
      <vt:lpstr>27-DOMINGO</vt:lpstr>
      <vt:lpstr>28</vt:lpstr>
      <vt:lpstr>Hoja29</vt:lpstr>
      <vt:lpstr>Hoja30</vt:lpstr>
      <vt:lpstr>Hoja31</vt:lpstr>
      <vt:lpstr>resumen mesual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2018-08-25T14:41:11Z</dcterms:created>
  <dcterms:modified xsi:type="dcterms:W3CDTF">2019-11-15T23:24:41Z</dcterms:modified>
</cp:coreProperties>
</file>